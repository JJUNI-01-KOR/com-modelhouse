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안내" sheetId="1" state="visible" r:id="rId3"/>
    <sheet name="QA 체크리스트" sheetId="2" state="visible" r:id="rId4"/>
    <sheet name="버그 리포트" sheetId="3" state="visible" r:id="rId5"/>
    <sheet name="회귀 테스트" sheetId="4" state="visible" r:id="rId6"/>
  </sheets>
  <definedNames>
    <definedName function="false" hidden="true" localSheetId="1" name="_xlnm._FilterDatabase" vbProcedure="false">'QA 체크리스트'!$A$4:$L$38</definedName>
    <definedName function="false" hidden="true" localSheetId="2" name="_xlnm._FilterDatabase" vbProcedure="false">'버그 리포트'!$A$3:$O$44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<sst xmlns="http://schemas.openxmlformats.org/spreadsheetml/2006/main" count="601" uniqueCount="300">
  <si>
    <t xml:space="preserve">모델하우스 컨피규레이터 · QA / 버그 리포트 / 회귀 테스트</t>
  </si>
  <si>
    <t xml:space="preserve">진행 순서</t>
  </si>
  <si>
    <t xml:space="preserve">① 전체 QA (기능 검증): 'QA 체크리스트' 시트에서 TC를 하나씩 실행하고 결과를 적는다. 실패하면 '버그 리포트'에 등록하고 버그 ID를 적는다.</t>
  </si>
  <si>
    <t xml:space="preserve">② 리팩토링: 버그 수정·코드 정리. 커밋마다 관련 버그 ID를 메시지에 적는다 (예: fix: BUG-03 …).</t>
  </si>
  <si>
    <t xml:space="preserve">③ 회귀 테스트: 리팩토링 후 '회귀 테스트' 시트에서 같은 TC를 다시 실행해 동작이 똑같이 유지되는지 확인한다.</t>
  </si>
  <si>
    <t xml:space="preserve">버그 리포트 작성 항목</t>
  </si>
  <si>
    <t xml:space="preserve">제목: 버그를 한 줄로 요약</t>
  </si>
  <si>
    <t xml:space="preserve">환경: OS, 빌드 버전(Unity 6000.4.0f1 / 커밋 해시 / 에디터 or 빌드), 디바이스</t>
  </si>
  <si>
    <t xml:space="preserve">재현 단계: 버그를 다시 발생시킬 수 있는 구체적 절차 (번호 매겨서)</t>
  </si>
  <si>
    <t xml:space="preserve">예상 결과: 정상 동작 시 기대되는 결과</t>
  </si>
  <si>
    <t xml:space="preserve">실제 결과: 실제로 발생한 현상</t>
  </si>
  <si>
    <t xml:space="preserve">스크린샷/로그: F12 화면 캡처, F11 이벤트 기록 저장 → C:\Unity\COM_Evidence\ 파일 이름을 적는다. Console 에러는 복사해 붙인다.</t>
  </si>
  <si>
    <t xml:space="preserve">심각도 기준</t>
  </si>
  <si>
    <t xml:space="preserve">치명: 시연 불가 (크래시, 멈춤, 필수 기능 동작 안 함)</t>
  </si>
  <si>
    <t xml:space="preserve">높음: 필수 기능 결과가 틀림 (SRS 기준 불충족)</t>
  </si>
  <si>
    <t xml:space="preserve">보통: 동작은 하지만 어색함·일부 조건에서 오류</t>
  </si>
  <si>
    <t xml:space="preserve">낮음: 문구·표시·사소한 시각 문제</t>
  </si>
  <si>
    <t xml:space="preserve">전체 QA (기능 검증)</t>
  </si>
  <si>
    <t xml:space="preserve">통과</t>
  </si>
  <si>
    <t xml:space="preserve">미실행</t>
  </si>
  <si>
    <t xml:space="preserve">환경</t>
  </si>
  <si>
    <r>
      <rPr>
        <sz val="11"/>
        <color theme="1"/>
        <rFont val="Calibri"/>
        <family val="2"/>
        <charset val="1"/>
      </rPr>
      <t xml:space="preserve">Windows 11 (10.0.26200) / Unity 6000.4.0f1 / feature/chanjung-qa (develop dfe46d6 + </t>
    </r>
    <r>
      <rPr>
        <sz val="11"/>
        <color theme="1"/>
        <rFont val="Noto Sans CJK SC"/>
        <family val="2"/>
      </rPr>
      <t xml:space="preserve">오민 </t>
    </r>
    <r>
      <rPr>
        <sz val="11"/>
        <color theme="1"/>
        <rFont val="Calibri"/>
        <family val="2"/>
        <charset val="1"/>
      </rPr>
      <t xml:space="preserve">10/13) / </t>
    </r>
    <r>
      <rPr>
        <sz val="11"/>
        <color theme="1"/>
        <rFont val="Noto Sans CJK SC"/>
        <family val="2"/>
      </rPr>
      <t xml:space="preserve">에디터 </t>
    </r>
    <r>
      <rPr>
        <sz val="11"/>
        <color theme="1"/>
        <rFont val="Calibri"/>
        <family val="2"/>
        <charset val="1"/>
      </rPr>
      <t xml:space="preserve">Play · </t>
    </r>
    <r>
      <rPr>
        <sz val="11"/>
        <color theme="1"/>
        <rFont val="Noto Sans CJK SC"/>
        <family val="2"/>
      </rPr>
      <t xml:space="preserve">자동 점검</t>
    </r>
    <r>
      <rPr>
        <sz val="11"/>
        <color theme="1"/>
        <rFont val="Calibri"/>
        <family val="2"/>
        <charset val="1"/>
      </rPr>
      <t xml:space="preserve">: Tools → COM → QA </t>
    </r>
    <r>
      <rPr>
        <sz val="11"/>
        <color theme="1"/>
        <rFont val="Noto Sans CJK SC"/>
        <family val="2"/>
      </rPr>
      <t xml:space="preserve">자동 점검</t>
    </r>
  </si>
  <si>
    <t xml:space="preserve">실패</t>
  </si>
  <si>
    <t xml:space="preserve">TC</t>
  </si>
  <si>
    <t xml:space="preserve">요구사항</t>
  </si>
  <si>
    <t xml:space="preserve">담당</t>
  </si>
  <si>
    <t xml:space="preserve">기능</t>
  </si>
  <si>
    <t xml:space="preserve">재현 단계 (시험 절차)</t>
  </si>
  <si>
    <t xml:space="preserve">예상 결과</t>
  </si>
  <si>
    <t xml:space="preserve">결과</t>
  </si>
  <si>
    <t xml:space="preserve">실제 결과 (실패 시)</t>
  </si>
  <si>
    <t xml:space="preserve">버그 ID</t>
  </si>
  <si>
    <t xml:space="preserve">시험자</t>
  </si>
  <si>
    <t xml:space="preserve">시험일</t>
  </si>
  <si>
    <t xml:space="preserve">증거 파일</t>
  </si>
  <si>
    <t xml:space="preserve">TC-01</t>
  </si>
  <si>
    <t xml:space="preserve">FR-01</t>
  </si>
  <si>
    <t xml:space="preserve">권오민</t>
  </si>
  <si>
    <t xml:space="preserve">이동·시점</t>
  </si>
  <si>
    <r>
      <rPr>
        <sz val="10"/>
        <rFont val="Cambria"/>
        <family val="1"/>
        <charset val="1"/>
      </rPr>
      <t xml:space="preserve">1) Play → </t>
    </r>
    <r>
      <rPr>
        <sz val="10"/>
        <rFont val="Noto Sans CJK SC"/>
        <family val="2"/>
      </rPr>
      <t xml:space="preserve">현관에서 </t>
    </r>
    <r>
      <rPr>
        <sz val="10"/>
        <rFont val="Cambria"/>
        <family val="1"/>
        <charset val="1"/>
      </rPr>
      <t xml:space="preserve">WASD</t>
    </r>
    <r>
      <rPr>
        <sz val="10"/>
        <rFont val="Noto Sans CJK SC"/>
        <family val="2"/>
      </rPr>
      <t xml:space="preserve">로 거실</t>
    </r>
    <r>
      <rPr>
        <sz val="10"/>
        <rFont val="Cambria"/>
        <family val="1"/>
        <charset val="1"/>
      </rPr>
      <t xml:space="preserve">·</t>
    </r>
    <r>
      <rPr>
        <sz val="10"/>
        <rFont val="Noto Sans CJK SC"/>
        <family val="2"/>
      </rPr>
      <t xml:space="preserve">주방</t>
    </r>
    <r>
      <rPr>
        <sz val="10"/>
        <rFont val="Cambria"/>
        <family val="1"/>
        <charset val="1"/>
      </rPr>
      <t xml:space="preserve">·</t>
    </r>
    <r>
      <rPr>
        <sz val="10"/>
        <rFont val="Noto Sans CJK SC"/>
        <family val="2"/>
      </rPr>
      <t xml:space="preserve">침실 이동
</t>
    </r>
    <r>
      <rPr>
        <sz val="10"/>
        <rFont val="Cambria"/>
        <family val="1"/>
        <charset val="1"/>
      </rPr>
      <t xml:space="preserve">2) </t>
    </r>
    <r>
      <rPr>
        <sz val="10"/>
        <rFont val="Noto Sans CJK SC"/>
        <family val="2"/>
      </rPr>
      <t xml:space="preserve">벽</t>
    </r>
    <r>
      <rPr>
        <sz val="10"/>
        <rFont val="Cambria"/>
        <family val="1"/>
        <charset val="1"/>
      </rPr>
      <t xml:space="preserve">·</t>
    </r>
    <r>
      <rPr>
        <sz val="10"/>
        <rFont val="Noto Sans CJK SC"/>
        <family val="2"/>
      </rPr>
      <t xml:space="preserve">가구로 계속 걸어가기
</t>
    </r>
    <r>
      <rPr>
        <sz val="10"/>
        <rFont val="Cambria"/>
        <family val="1"/>
        <charset val="1"/>
      </rPr>
      <t xml:space="preserve">3) </t>
    </r>
    <r>
      <rPr>
        <sz val="10"/>
        <rFont val="Noto Sans CJK SC"/>
        <family val="2"/>
      </rPr>
      <t xml:space="preserve">우클릭 누른 채</t>
    </r>
    <r>
      <rPr>
        <sz val="10"/>
        <rFont val="Cambria"/>
        <family val="1"/>
        <charset val="1"/>
      </rPr>
      <t xml:space="preserve">/</t>
    </r>
    <r>
      <rPr>
        <sz val="10"/>
        <rFont val="Noto Sans CJK SC"/>
        <family val="2"/>
      </rPr>
      <t xml:space="preserve">뗀 채 마우스 이동</t>
    </r>
  </si>
  <si>
    <r>
      <rPr>
        <sz val="10"/>
        <rFont val="Cambria"/>
        <family val="1"/>
        <charset val="1"/>
      </rPr>
      <t xml:space="preserve">4</t>
    </r>
    <r>
      <rPr>
        <sz val="10"/>
        <rFont val="Noto Sans CJK SC"/>
        <family val="2"/>
      </rPr>
      <t xml:space="preserve">개 구역 모두 이동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벽</t>
    </r>
    <r>
      <rPr>
        <sz val="10"/>
        <rFont val="Cambria"/>
        <family val="1"/>
        <charset val="1"/>
      </rPr>
      <t xml:space="preserve">·</t>
    </r>
    <r>
      <rPr>
        <sz val="10"/>
        <rFont val="Noto Sans CJK SC"/>
        <family val="2"/>
      </rPr>
      <t xml:space="preserve">물체 통과 안 함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우클릭 중에만 시점 회전</t>
    </r>
  </si>
  <si>
    <t xml:space="preserve">TC-02</t>
  </si>
  <si>
    <t xml:space="preserve">FR-02</t>
  </si>
  <si>
    <t xml:space="preserve">구역 정보 창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</si>
  <si>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현관 → 거실 → 주방 → 침실 순서로 들어가기</t>
    </r>
  </si>
  <si>
    <t xml:space="preserve">들어갈 때마다 그 구역 정보 창이 3초 표시, 구역이 바뀌면 교체</t>
  </si>
  <si>
    <r>
      <rPr>
        <sz val="10"/>
        <rFont val="Noto Sans CJK SC"/>
        <family val="2"/>
      </rPr>
      <t xml:space="preserve">거실 진입 </t>
    </r>
    <r>
      <rPr>
        <sz val="10"/>
        <rFont val="Cambria"/>
        <family val="1"/>
        <charset val="1"/>
      </rPr>
      <t xml:space="preserve">0.3</t>
    </r>
    <r>
      <rPr>
        <sz val="10"/>
        <rFont val="Noto Sans CJK SC"/>
        <family val="2"/>
      </rPr>
      <t xml:space="preserve">초에 표시</t>
    </r>
    <r>
      <rPr>
        <sz val="10"/>
        <rFont val="Cambria"/>
        <family val="1"/>
        <charset val="1"/>
      </rPr>
      <t xml:space="preserve">, '</t>
    </r>
    <r>
      <rPr>
        <sz val="10"/>
        <rFont val="Noto Sans CJK SC"/>
        <family val="2"/>
      </rPr>
      <t xml:space="preserve">거실</t>
    </r>
    <r>
      <rPr>
        <sz val="10"/>
        <rFont val="Cambria"/>
        <family val="1"/>
        <charset val="1"/>
      </rPr>
      <t xml:space="preserve">' </t>
    </r>
    <r>
      <rPr>
        <sz val="10"/>
        <rFont val="Noto Sans CJK SC"/>
        <family val="2"/>
      </rPr>
      <t xml:space="preserve">글자</t>
    </r>
    <r>
      <rPr>
        <sz val="10"/>
        <rFont val="Cambria"/>
        <family val="1"/>
        <charset val="1"/>
      </rPr>
      <t xml:space="preserve">, 2.7</t>
    </r>
    <r>
      <rPr>
        <sz val="10"/>
        <rFont val="Noto Sans CJK SC"/>
        <family val="2"/>
      </rPr>
      <t xml:space="preserve">초 유지</t>
    </r>
    <r>
      <rPr>
        <sz val="10"/>
        <rFont val="Cambria"/>
        <family val="1"/>
        <charset val="1"/>
      </rPr>
      <t xml:space="preserve">·3.3</t>
    </r>
    <r>
      <rPr>
        <sz val="10"/>
        <rFont val="Noto Sans CJK SC"/>
        <family val="2"/>
      </rPr>
      <t xml:space="preserve">초 사라짐</t>
    </r>
  </si>
  <si>
    <r>
      <rPr>
        <sz val="10"/>
        <rFont val="Noto Sans CJK SC"/>
        <family val="2"/>
      </rPr>
      <t xml:space="preserve">김찬중</t>
    </r>
    <r>
      <rPr>
        <sz val="10"/>
        <rFont val="Cambria"/>
        <family val="1"/>
        <charset val="1"/>
      </rPr>
      <t xml:space="preserve">(</t>
    </r>
    <r>
      <rPr>
        <sz val="10"/>
        <rFont val="Noto Sans CJK SC"/>
        <family val="2"/>
      </rPr>
      <t xml:space="preserve">자동</t>
    </r>
    <r>
      <rPr>
        <sz val="10"/>
        <rFont val="Cambria"/>
        <family val="1"/>
        <charset val="1"/>
      </rPr>
      <t xml:space="preserve">)</t>
    </r>
  </si>
  <si>
    <t xml:space="preserve">2026-10-13</t>
  </si>
  <si>
    <r>
      <rPr>
        <sz val="10"/>
        <rFont val="Cambria"/>
        <family val="1"/>
        <charset val="1"/>
      </rPr>
      <t xml:space="preserve">20261013_115854_QA</t>
    </r>
    <r>
      <rPr>
        <sz val="10"/>
        <rFont val="Noto Sans CJK SC"/>
        <family val="2"/>
      </rPr>
      <t xml:space="preserve">자동점검</t>
    </r>
    <r>
      <rPr>
        <sz val="10"/>
        <rFont val="Cambria"/>
        <family val="1"/>
        <charset val="1"/>
      </rPr>
      <t xml:space="preserve">.txt</t>
    </r>
  </si>
  <si>
    <t xml:space="preserve">TC-03</t>
  </si>
  <si>
    <t xml:space="preserve">FR-03</t>
  </si>
  <si>
    <t xml:space="preserve">부분 선택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</si>
  <si>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부록 </t>
    </r>
    <r>
      <rPr>
        <sz val="10"/>
        <rFont val="Cambria"/>
        <family val="1"/>
        <charset val="1"/>
      </rPr>
      <t xml:space="preserve">A-3 </t>
    </r>
    <r>
      <rPr>
        <sz val="10"/>
        <rFont val="Noto Sans CJK SC"/>
        <family val="2"/>
      </rPr>
      <t xml:space="preserve">부분</t>
    </r>
    <r>
      <rPr>
        <sz val="10"/>
        <rFont val="Cambria"/>
        <family val="1"/>
        <charset val="1"/>
      </rPr>
      <t xml:space="preserve">(</t>
    </r>
    <r>
      <rPr>
        <sz val="10"/>
        <rFont val="Noto Sans CJK SC"/>
        <family val="2"/>
      </rPr>
      <t xml:space="preserve">벽</t>
    </r>
    <r>
      <rPr>
        <sz val="10"/>
        <rFont val="Cambria"/>
        <family val="1"/>
        <charset val="1"/>
      </rPr>
      <t xml:space="preserve">·</t>
    </r>
    <r>
      <rPr>
        <sz val="10"/>
        <rFont val="Noto Sans CJK SC"/>
        <family val="2"/>
      </rPr>
      <t xml:space="preserve">바닥</t>
    </r>
    <r>
      <rPr>
        <sz val="10"/>
        <rFont val="Cambria"/>
        <family val="1"/>
        <charset val="1"/>
      </rPr>
      <t xml:space="preserve">·</t>
    </r>
    <r>
      <rPr>
        <sz val="10"/>
        <rFont val="Noto Sans CJK SC"/>
        <family val="2"/>
      </rPr>
      <t xml:space="preserve">상판</t>
    </r>
    <r>
      <rPr>
        <sz val="10"/>
        <rFont val="Cambria"/>
        <family val="1"/>
        <charset val="1"/>
      </rPr>
      <t xml:space="preserve">·</t>
    </r>
    <r>
      <rPr>
        <sz val="10"/>
        <rFont val="Noto Sans CJK SC"/>
        <family val="2"/>
      </rPr>
      <t xml:space="preserve">소파</t>
    </r>
    <r>
      <rPr>
        <sz val="10"/>
        <rFont val="Cambria"/>
        <family val="1"/>
        <charset val="1"/>
      </rPr>
      <t xml:space="preserve">·</t>
    </r>
    <r>
      <rPr>
        <sz val="10"/>
        <rFont val="Noto Sans CJK SC"/>
        <family val="2"/>
      </rPr>
      <t xml:space="preserve">러그</t>
    </r>
    <r>
      <rPr>
        <sz val="10"/>
        <rFont val="Cambria"/>
        <family val="1"/>
        <charset val="1"/>
      </rPr>
      <t xml:space="preserve">·</t>
    </r>
    <r>
      <rPr>
        <sz val="10"/>
        <rFont val="Noto Sans CJK SC"/>
        <family val="2"/>
      </rPr>
      <t xml:space="preserve">액자</t>
    </r>
    <r>
      <rPr>
        <sz val="10"/>
        <rFont val="Cambria"/>
        <family val="1"/>
        <charset val="1"/>
      </rPr>
      <t xml:space="preserve">·</t>
    </r>
    <r>
      <rPr>
        <sz val="10"/>
        <rFont val="Noto Sans CJK SC"/>
        <family val="2"/>
      </rPr>
      <t xml:space="preserve">화분</t>
    </r>
    <r>
      <rPr>
        <sz val="10"/>
        <rFont val="Cambria"/>
        <family val="1"/>
        <charset val="1"/>
      </rPr>
      <t xml:space="preserve">)</t>
    </r>
    <r>
      <rPr>
        <sz val="10"/>
        <rFont val="Noto Sans CJK SC"/>
        <family val="2"/>
      </rPr>
      <t xml:space="preserve">에 </t>
    </r>
    <r>
      <rPr>
        <sz val="10"/>
        <rFont val="Cambria"/>
        <family val="1"/>
        <charset val="1"/>
      </rPr>
      <t xml:space="preserve">5m </t>
    </r>
    <r>
      <rPr>
        <sz val="10"/>
        <rFont val="Noto Sans CJK SC"/>
        <family val="2"/>
      </rPr>
      <t xml:space="preserve">안</t>
    </r>
    <r>
      <rPr>
        <sz val="10"/>
        <rFont val="Cambria"/>
        <family val="1"/>
        <charset val="1"/>
      </rPr>
      <t xml:space="preserve">/</t>
    </r>
    <r>
      <rPr>
        <sz val="10"/>
        <rFont val="Noto Sans CJK SC"/>
        <family val="2"/>
      </rPr>
      <t xml:space="preserve">밖에서 조준</t>
    </r>
    <r>
      <rPr>
        <sz val="10"/>
        <rFont val="Cambria"/>
        <family val="1"/>
        <charset val="1"/>
      </rPr>
      <t xml:space="preserve">·</t>
    </r>
    <r>
      <rPr>
        <sz val="10"/>
        <rFont val="Noto Sans CJK SC"/>
        <family val="2"/>
      </rPr>
      <t xml:space="preserve">클릭</t>
    </r>
  </si>
  <si>
    <r>
      <rPr>
        <sz val="10"/>
        <rFont val="Cambria"/>
        <family val="1"/>
        <charset val="1"/>
      </rPr>
      <t xml:space="preserve">5m </t>
    </r>
    <r>
      <rPr>
        <sz val="10"/>
        <rFont val="Noto Sans CJK SC"/>
        <family val="2"/>
      </rPr>
      <t xml:space="preserve">안에서만 테두리 강조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클릭하면 그 부분 옵션 목록 열림</t>
    </r>
  </si>
  <si>
    <t xml:space="preserve">TC-04</t>
  </si>
  <si>
    <t xml:space="preserve">FR-04</t>
  </si>
  <si>
    <t xml:space="preserve">김찬중</t>
  </si>
  <si>
    <t xml:space="preserve">재실 조명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</si>
  <si>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구역 밖에서 구역 안으로 들어가기 </t>
    </r>
    <r>
      <rPr>
        <sz val="10"/>
        <rFont val="Cambria"/>
        <family val="1"/>
        <charset val="1"/>
      </rPr>
      <t xml:space="preserve">(4</t>
    </r>
    <r>
      <rPr>
        <sz val="10"/>
        <rFont val="Noto Sans CJK SC"/>
        <family val="2"/>
      </rPr>
      <t xml:space="preserve">개 구역</t>
    </r>
    <r>
      <rPr>
        <sz val="10"/>
        <rFont val="Cambria"/>
        <family val="1"/>
        <charset val="1"/>
      </rPr>
      <t xml:space="preserve">)
2) </t>
    </r>
    <r>
      <rPr>
        <sz val="10"/>
        <rFont val="Noto Sans CJK SC"/>
        <family val="2"/>
      </rPr>
      <t xml:space="preserve">기록 패널에서 </t>
    </r>
    <r>
      <rPr>
        <sz val="10"/>
        <rFont val="Cambria"/>
        <family val="1"/>
        <charset val="1"/>
      </rPr>
      <t xml:space="preserve">'</t>
    </r>
    <r>
      <rPr>
        <sz val="10"/>
        <rFont val="Noto Sans CJK SC"/>
        <family val="2"/>
      </rPr>
      <t xml:space="preserve">방 진입</t>
    </r>
    <r>
      <rPr>
        <sz val="10"/>
        <rFont val="Cambria"/>
        <family val="1"/>
        <charset val="1"/>
      </rPr>
      <t xml:space="preserve">'·'</t>
    </r>
    <r>
      <rPr>
        <sz val="10"/>
        <rFont val="Noto Sans CJK SC"/>
        <family val="2"/>
      </rPr>
      <t xml:space="preserve">조명 켜기 시작</t>
    </r>
    <r>
      <rPr>
        <sz val="10"/>
        <rFont val="Cambria"/>
        <family val="1"/>
        <charset val="1"/>
      </rPr>
      <t xml:space="preserve">' </t>
    </r>
    <r>
      <rPr>
        <sz val="10"/>
        <rFont val="Noto Sans CJK SC"/>
        <family val="2"/>
      </rPr>
      <t xml:space="preserve">확인</t>
    </r>
  </si>
  <si>
    <r>
      <rPr>
        <sz val="10"/>
        <rFont val="Cambria"/>
        <family val="1"/>
        <charset val="1"/>
      </rPr>
      <t xml:space="preserve">1</t>
    </r>
    <r>
      <rPr>
        <sz val="10"/>
        <rFont val="Noto Sans CJK SC"/>
        <family val="2"/>
      </rPr>
      <t xml:space="preserve">초 이내 밝기 </t>
    </r>
    <r>
      <rPr>
        <sz val="10"/>
        <rFont val="Cambria"/>
        <family val="1"/>
        <charset val="1"/>
      </rPr>
      <t xml:space="preserve">100%</t>
    </r>
  </si>
  <si>
    <r>
      <rPr>
        <sz val="10"/>
        <rFont val="Cambria"/>
        <family val="1"/>
        <charset val="1"/>
      </rPr>
      <t xml:space="preserve">1.00</t>
    </r>
    <r>
      <rPr>
        <sz val="10"/>
        <rFont val="Noto Sans CJK SC"/>
        <family val="2"/>
      </rPr>
      <t xml:space="preserve">초</t>
    </r>
  </si>
  <si>
    <t xml:space="preserve">김찬중(자동)</t>
  </si>
  <si>
    <t xml:space="preserve">TC-05</t>
  </si>
  <si>
    <t xml:space="preserve">FR-05</t>
  </si>
  <si>
    <t xml:space="preserve">퇴실 조명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</si>
  <si>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구역 안에서 밖으로 나가 기다리기</t>
    </r>
  </si>
  <si>
    <r>
      <rPr>
        <sz val="10"/>
        <rFont val="Cambria"/>
        <family val="1"/>
        <charset val="1"/>
      </rPr>
      <t xml:space="preserve">3</t>
    </r>
    <r>
      <rPr>
        <sz val="10"/>
        <rFont val="Noto Sans CJK SC"/>
        <family val="2"/>
      </rPr>
      <t xml:space="preserve">초 뒤 어두워지기 시작</t>
    </r>
    <r>
      <rPr>
        <sz val="10"/>
        <rFont val="Cambria"/>
        <family val="1"/>
        <charset val="1"/>
      </rPr>
      <t xml:space="preserve">, 4</t>
    </r>
    <r>
      <rPr>
        <sz val="10"/>
        <rFont val="Noto Sans CJK SC"/>
        <family val="2"/>
      </rPr>
      <t xml:space="preserve">초에 </t>
    </r>
    <r>
      <rPr>
        <sz val="10"/>
        <rFont val="Cambria"/>
        <family val="1"/>
        <charset val="1"/>
      </rPr>
      <t xml:space="preserve">0%, '</t>
    </r>
    <r>
      <rPr>
        <sz val="10"/>
        <rFont val="Noto Sans CJK SC"/>
        <family val="2"/>
      </rPr>
      <t xml:space="preserve">조명 꺼짐</t>
    </r>
    <r>
      <rPr>
        <sz val="10"/>
        <rFont val="Cambria"/>
        <family val="1"/>
        <charset val="1"/>
      </rPr>
      <t xml:space="preserve">' </t>
    </r>
    <r>
      <rPr>
        <sz val="10"/>
        <rFont val="Noto Sans CJK SC"/>
        <family val="2"/>
      </rPr>
      <t xml:space="preserve">기록</t>
    </r>
  </si>
  <si>
    <t xml:space="preserve">감광 시작 3.04초, 0% 4.04초</t>
  </si>
  <si>
    <t xml:space="preserve">TC-06</t>
  </si>
  <si>
    <t xml:space="preserve">재진입(2초)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</si>
  <si>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구역에서 나가고 </t>
    </r>
    <r>
      <rPr>
        <sz val="10"/>
        <rFont val="Cambria"/>
        <family val="1"/>
        <charset val="1"/>
      </rPr>
      <t xml:space="preserve">2</t>
    </r>
    <r>
      <rPr>
        <sz val="10"/>
        <rFont val="Noto Sans CJK SC"/>
        <family val="2"/>
      </rPr>
      <t xml:space="preserve">초 뒤 다시 들어가기</t>
    </r>
  </si>
  <si>
    <t xml:space="preserve">조명이 꺼지지 않고 켜진 채 유지</t>
  </si>
  <si>
    <t xml:space="preserve">재진입 후 3초 최저 밝기 1.00</t>
  </si>
  <si>
    <t xml:space="preserve">TC-07</t>
  </si>
  <si>
    <t xml:space="preserve">FR-04/05</t>
  </si>
  <si>
    <t xml:space="preserve">재진입(3.5초)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</si>
  <si>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구역에서 나가고 </t>
    </r>
    <r>
      <rPr>
        <sz val="10"/>
        <rFont val="Cambria"/>
        <family val="1"/>
        <charset val="1"/>
      </rPr>
      <t xml:space="preserve">3.5</t>
    </r>
    <r>
      <rPr>
        <sz val="10"/>
        <rFont val="Noto Sans CJK SC"/>
        <family val="2"/>
      </rPr>
      <t xml:space="preserve">초 뒤</t>
    </r>
    <r>
      <rPr>
        <sz val="10"/>
        <rFont val="Cambria"/>
        <family val="1"/>
        <charset val="1"/>
      </rPr>
      <t xml:space="preserve">(</t>
    </r>
    <r>
      <rPr>
        <sz val="10"/>
        <rFont val="Noto Sans CJK SC"/>
        <family val="2"/>
      </rPr>
      <t xml:space="preserve">어두워지는 중</t>
    </r>
    <r>
      <rPr>
        <sz val="10"/>
        <rFont val="Cambria"/>
        <family val="1"/>
        <charset val="1"/>
      </rPr>
      <t xml:space="preserve">) </t>
    </r>
    <r>
      <rPr>
        <sz val="10"/>
        <rFont val="Noto Sans CJK SC"/>
        <family val="2"/>
      </rPr>
      <t xml:space="preserve">다시 들어가기</t>
    </r>
  </si>
  <si>
    <r>
      <rPr>
        <sz val="10"/>
        <rFont val="Cambria"/>
        <family val="1"/>
        <charset val="1"/>
      </rPr>
      <t xml:space="preserve">1</t>
    </r>
    <r>
      <rPr>
        <sz val="10"/>
        <rFont val="Noto Sans CJK SC"/>
        <family val="2"/>
      </rPr>
      <t xml:space="preserve">초 이내 밝기 </t>
    </r>
    <r>
      <rPr>
        <sz val="10"/>
        <rFont val="Cambria"/>
        <family val="1"/>
        <charset val="1"/>
      </rPr>
      <t xml:space="preserve">100%</t>
    </r>
    <r>
      <rPr>
        <sz val="10"/>
        <rFont val="Noto Sans CJK SC"/>
        <family val="2"/>
      </rPr>
      <t xml:space="preserve">로 복귀</t>
    </r>
  </si>
  <si>
    <t xml:space="preserve">밝기 0.51에서 재진입 → 0.49초에 100%</t>
  </si>
  <si>
    <t xml:space="preserve">TC-14</t>
  </si>
  <si>
    <t xml:space="preserve">FR-11</t>
  </si>
  <si>
    <t xml:space="preserve">메뉴·패널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</si>
  <si>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좌측 상단 </t>
    </r>
    <r>
      <rPr>
        <sz val="10"/>
        <rFont val="Cambria"/>
        <family val="1"/>
        <charset val="1"/>
      </rPr>
      <t xml:space="preserve">[</t>
    </r>
    <r>
      <rPr>
        <sz val="10"/>
        <rFont val="Noto Sans CJK SC"/>
        <family val="2"/>
      </rPr>
      <t xml:space="preserve">옵션</t>
    </r>
    <r>
      <rPr>
        <sz val="10"/>
        <rFont val="Cambria"/>
        <family val="1"/>
        <charset val="1"/>
      </rPr>
      <t xml:space="preserve">]·[</t>
    </r>
    <r>
      <rPr>
        <sz val="10"/>
        <rFont val="Noto Sans CJK SC"/>
        <family val="2"/>
      </rPr>
      <t xml:space="preserve">기록</t>
    </r>
    <r>
      <rPr>
        <sz val="10"/>
        <rFont val="Cambria"/>
        <family val="1"/>
        <charset val="1"/>
      </rPr>
      <t xml:space="preserve">] </t>
    </r>
    <r>
      <rPr>
        <sz val="10"/>
        <rFont val="Noto Sans CJK SC"/>
        <family val="2"/>
      </rPr>
      <t xml:space="preserve">버튼 번갈아 누르기
</t>
    </r>
    <r>
      <rPr>
        <sz val="10"/>
        <rFont val="Cambria"/>
        <family val="1"/>
        <charset val="1"/>
      </rPr>
      <t xml:space="preserve">2) </t>
    </r>
    <r>
      <rPr>
        <sz val="10"/>
        <rFont val="Noto Sans CJK SC"/>
        <family val="2"/>
      </rPr>
      <t xml:space="preserve">패널 열린 채 </t>
    </r>
    <r>
      <rPr>
        <sz val="10"/>
        <rFont val="Cambria"/>
        <family val="1"/>
        <charset val="1"/>
      </rPr>
      <t xml:space="preserve">WASD </t>
    </r>
    <r>
      <rPr>
        <sz val="10"/>
        <rFont val="Noto Sans CJK SC"/>
        <family val="2"/>
      </rPr>
      <t xml:space="preserve">이동</t>
    </r>
  </si>
  <si>
    <r>
      <rPr>
        <sz val="10"/>
        <rFont val="Cambria"/>
        <family val="1"/>
        <charset val="1"/>
      </rPr>
      <t xml:space="preserve">0.5</t>
    </r>
    <r>
      <rPr>
        <sz val="10"/>
        <rFont val="Noto Sans CJK SC"/>
        <family val="2"/>
      </rPr>
      <t xml:space="preserve">초 이내 패널 열림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다른 패널 닫힘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열린 채 이동 가능</t>
    </r>
  </si>
  <si>
    <r>
      <rPr>
        <sz val="10"/>
        <rFont val="Noto Sans CJK SC"/>
        <family val="2"/>
      </rPr>
      <t xml:space="preserve">옵션 패널 </t>
    </r>
    <r>
      <rPr>
        <sz val="10"/>
        <rFont val="Cambria"/>
        <family val="1"/>
        <charset val="1"/>
      </rPr>
      <t xml:space="preserve">16ms</t>
    </r>
    <r>
      <rPr>
        <sz val="10"/>
        <rFont val="Noto Sans CJK SC"/>
        <family val="2"/>
      </rPr>
      <t xml:space="preserve">에 열림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기록 전환 시 옵션 닫힘</t>
    </r>
    <r>
      <rPr>
        <sz val="10"/>
        <rFont val="Cambria"/>
        <family val="1"/>
        <charset val="1"/>
      </rPr>
      <t xml:space="preserve">, timeScale 1, </t>
    </r>
    <r>
      <rPr>
        <sz val="10"/>
        <rFont val="Noto Sans CJK SC"/>
        <family val="2"/>
      </rPr>
      <t xml:space="preserve">다시 누르면 닫힘</t>
    </r>
  </si>
  <si>
    <t xml:space="preserve">TC-16</t>
  </si>
  <si>
    <t xml:space="preserve">FR-13</t>
  </si>
  <si>
    <t xml:space="preserve">커피 시연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</si>
  <si>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로봇팔 근처에서 로봇팔 클릭 또는 </t>
    </r>
    <r>
      <rPr>
        <sz val="10"/>
        <rFont val="Cambria"/>
        <family val="1"/>
        <charset val="1"/>
      </rPr>
      <t xml:space="preserve">C
2) </t>
    </r>
    <r>
      <rPr>
        <sz val="10"/>
        <rFont val="Noto Sans CJK SC"/>
        <family val="2"/>
      </rPr>
      <t xml:space="preserve">받침대 빈 상태 시간 측정
</t>
    </r>
    <r>
      <rPr>
        <sz val="10"/>
        <rFont val="Cambria"/>
        <family val="1"/>
        <charset val="1"/>
      </rPr>
      <t xml:space="preserve">3) 2·3·4</t>
    </r>
    <r>
      <rPr>
        <sz val="10"/>
        <rFont val="Noto Sans CJK SC"/>
        <family val="2"/>
      </rPr>
      <t xml:space="preserve">번째 실행</t>
    </r>
  </si>
  <si>
    <t xml:space="preserve">보관대 컵→추출구 5초→받침대, 빈 받침대 30초·정리 포함 60초 이내, 2번째부터 지난 잔 싱크대, 4번째에 컵 3개 보관대로 복귀</t>
  </si>
  <si>
    <t xml:space="preserve">빈 받침대 26.1초, 정리 포함 37.1초, 싱크대 정리 확인</t>
  </si>
  <si>
    <t xml:space="preserve">TC-16-P</t>
  </si>
  <si>
    <r>
      <rPr>
        <sz val="10"/>
        <rFont val="Cambria"/>
        <family val="1"/>
        <charset val="1"/>
      </rPr>
      <t xml:space="preserve">FR-13 (</t>
    </r>
    <r>
      <rPr>
        <sz val="10"/>
        <rFont val="Noto Sans CJK SC"/>
        <family val="2"/>
      </rPr>
      <t xml:space="preserve">피드백</t>
    </r>
    <r>
      <rPr>
        <sz val="10"/>
        <rFont val="Cambria"/>
        <family val="1"/>
        <charset val="1"/>
      </rPr>
      <t xml:space="preserve">)</t>
    </r>
  </si>
  <si>
    <t xml:space="preserve">일시정지 X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</si>
  <si>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커피 작업 중</t>
    </r>
    <r>
      <rPr>
        <sz val="10"/>
        <rFont val="Cambria"/>
        <family val="1"/>
        <charset val="1"/>
      </rPr>
      <t xml:space="preserve">(</t>
    </r>
    <r>
      <rPr>
        <sz val="10"/>
        <rFont val="Noto Sans CJK SC"/>
        <family val="2"/>
      </rPr>
      <t xml:space="preserve">컵 든 상태</t>
    </r>
    <r>
      <rPr>
        <sz val="10"/>
        <rFont val="Cambria"/>
        <family val="1"/>
        <charset val="1"/>
      </rPr>
      <t xml:space="preserve">) X
2) </t>
    </r>
    <r>
      <rPr>
        <sz val="10"/>
        <rFont val="Noto Sans CJK SC"/>
        <family val="2"/>
      </rPr>
      <t xml:space="preserve">몇 초 뒤 다시 </t>
    </r>
    <r>
      <rPr>
        <sz val="10"/>
        <rFont val="Cambria"/>
        <family val="1"/>
        <charset val="1"/>
      </rPr>
      <t xml:space="preserve">X</t>
    </r>
  </si>
  <si>
    <t xml:space="preserve">팔·추출 시간·김이 멈추고, 다시 X에 하던 곳부터 이어서 진행, '커피 작업 일시정지/이어서 진행' 기록</t>
  </si>
  <si>
    <t xml:space="preserve">추출 직전 일시정지 3초 동안 멈춤 → 이어서 완료</t>
  </si>
  <si>
    <t xml:space="preserve">TC-16-S</t>
  </si>
  <si>
    <t xml:space="preserve">정지 Z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</si>
  <si>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컵을 든 상태에서 </t>
    </r>
    <r>
      <rPr>
        <sz val="10"/>
        <rFont val="Cambria"/>
        <family val="1"/>
        <charset val="1"/>
      </rPr>
      <t xml:space="preserve">Z
2) </t>
    </r>
    <r>
      <rPr>
        <sz val="10"/>
        <rFont val="Noto Sans CJK SC"/>
        <family val="2"/>
      </rPr>
      <t xml:space="preserve">컵 집기 전</t>
    </r>
    <r>
      <rPr>
        <sz val="10"/>
        <rFont val="Cambria"/>
        <family val="1"/>
        <charset val="1"/>
      </rPr>
      <t xml:space="preserve">·</t>
    </r>
    <r>
      <rPr>
        <sz val="10"/>
        <rFont val="Noto Sans CJK SC"/>
        <family val="2"/>
      </rPr>
      <t xml:space="preserve">추출 중에도 각각 </t>
    </r>
    <r>
      <rPr>
        <sz val="10"/>
        <rFont val="Cambria"/>
        <family val="1"/>
        <charset val="1"/>
      </rPr>
      <t xml:space="preserve">Z</t>
    </r>
  </si>
  <si>
    <t xml:space="preserve">든 컵은 집었던 자리에 내려놓고 홈 → 대기, 컵이 공중에 남지 않음, '커피 작업 정지' 기록</t>
  </si>
  <si>
    <t xml:space="preserve">제자리 내려놓음 기록, 공중 컵 없음, 대기</t>
  </si>
  <si>
    <t xml:space="preserve">TC-16-U</t>
  </si>
  <si>
    <t xml:space="preserve">조작 패널·안내판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</si>
  <si>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로봇팔에서 </t>
    </r>
    <r>
      <rPr>
        <sz val="10"/>
        <rFont val="Cambria"/>
        <family val="1"/>
        <charset val="1"/>
      </rPr>
      <t xml:space="preserve">2.5m </t>
    </r>
    <r>
      <rPr>
        <sz val="10"/>
        <rFont val="Noto Sans CJK SC"/>
        <family val="2"/>
      </rPr>
      <t xml:space="preserve">밖 → 안으로 이동
</t>
    </r>
    <r>
      <rPr>
        <sz val="10"/>
        <rFont val="Cambria"/>
        <family val="1"/>
        <charset val="1"/>
      </rPr>
      <t xml:space="preserve">2) </t>
    </r>
    <r>
      <rPr>
        <sz val="10"/>
        <rFont val="Noto Sans CJK SC"/>
        <family val="2"/>
      </rPr>
      <t xml:space="preserve">패널 </t>
    </r>
    <r>
      <rPr>
        <sz val="10"/>
        <rFont val="Cambria"/>
        <family val="1"/>
        <charset val="1"/>
      </rPr>
      <t xml:space="preserve">[</t>
    </r>
    <r>
      <rPr>
        <sz val="10"/>
        <rFont val="Noto Sans CJK SC"/>
        <family val="2"/>
      </rPr>
      <t xml:space="preserve">동작</t>
    </r>
    <r>
      <rPr>
        <sz val="10"/>
        <rFont val="Cambria"/>
        <family val="1"/>
        <charset val="1"/>
      </rPr>
      <t xml:space="preserve">]/[</t>
    </r>
    <r>
      <rPr>
        <sz val="10"/>
        <rFont val="Noto Sans CJK SC"/>
        <family val="2"/>
      </rPr>
      <t xml:space="preserve">일시정지</t>
    </r>
    <r>
      <rPr>
        <sz val="10"/>
        <rFont val="Cambria"/>
        <family val="1"/>
        <charset val="1"/>
      </rPr>
      <t xml:space="preserve">]/[</t>
    </r>
    <r>
      <rPr>
        <sz val="10"/>
        <rFont val="Noto Sans CJK SC"/>
        <family val="2"/>
      </rPr>
      <t xml:space="preserve">정지</t>
    </r>
    <r>
      <rPr>
        <sz val="10"/>
        <rFont val="Cambria"/>
        <family val="1"/>
        <charset val="1"/>
      </rPr>
      <t xml:space="preserve">] </t>
    </r>
    <r>
      <rPr>
        <sz val="10"/>
        <rFont val="Noto Sans CJK SC"/>
        <family val="2"/>
      </rPr>
      <t xml:space="preserve">클릭
</t>
    </r>
    <r>
      <rPr>
        <sz val="10"/>
        <rFont val="Cambria"/>
        <family val="1"/>
        <charset val="1"/>
      </rPr>
      <t xml:space="preserve">3) </t>
    </r>
    <r>
      <rPr>
        <sz val="10"/>
        <rFont val="Noto Sans CJK SC"/>
        <family val="2"/>
      </rPr>
      <t xml:space="preserve">식탁 안내판 확인</t>
    </r>
  </si>
  <si>
    <r>
      <rPr>
        <sz val="10"/>
        <rFont val="Cambria"/>
        <family val="1"/>
        <charset val="1"/>
      </rPr>
      <t xml:space="preserve">2.5m </t>
    </r>
    <r>
      <rPr>
        <sz val="10"/>
        <rFont val="Noto Sans CJK SC"/>
        <family val="2"/>
      </rPr>
      <t xml:space="preserve">안에서만 패널이 뜸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버튼이 </t>
    </r>
    <r>
      <rPr>
        <sz val="10"/>
        <rFont val="Cambria"/>
        <family val="1"/>
        <charset val="1"/>
      </rPr>
      <t xml:space="preserve">C/X/Z</t>
    </r>
    <r>
      <rPr>
        <sz val="10"/>
        <rFont val="Noto Sans CJK SC"/>
        <family val="2"/>
      </rPr>
      <t xml:space="preserve">와 같게 동작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안내판에 </t>
    </r>
    <r>
      <rPr>
        <sz val="10"/>
        <rFont val="Cambria"/>
        <family val="1"/>
        <charset val="1"/>
      </rPr>
      <t xml:space="preserve">Z/X/C </t>
    </r>
    <r>
      <rPr>
        <sz val="10"/>
        <rFont val="Noto Sans CJK SC"/>
        <family val="2"/>
      </rPr>
      <t xml:space="preserve">안내</t>
    </r>
  </si>
  <si>
    <r>
      <rPr>
        <sz val="10"/>
        <rFont val="Noto Sans CJK SC"/>
        <family val="2"/>
      </rPr>
      <t xml:space="preserve">멀리 </t>
    </r>
    <r>
      <rPr>
        <sz val="10"/>
        <rFont val="Cambria"/>
        <family val="1"/>
        <charset val="1"/>
      </rPr>
      <t xml:space="preserve">0.00 / 1.5m 1.00(2.5m </t>
    </r>
    <r>
      <rPr>
        <sz val="10"/>
        <rFont val="Noto Sans CJK SC"/>
        <family val="2"/>
      </rPr>
      <t xml:space="preserve">안에서만</t>
    </r>
    <r>
      <rPr>
        <sz val="10"/>
        <rFont val="Cambria"/>
        <family val="1"/>
        <charset val="1"/>
      </rPr>
      <t xml:space="preserve">), </t>
    </r>
    <r>
      <rPr>
        <sz val="10"/>
        <rFont val="Noto Sans CJK SC"/>
        <family val="2"/>
      </rPr>
      <t xml:space="preserve">버튼 동작</t>
    </r>
    <r>
      <rPr>
        <sz val="10"/>
        <rFont val="Cambria"/>
        <family val="1"/>
        <charset val="1"/>
      </rPr>
      <t xml:space="preserve">(C)·</t>
    </r>
    <r>
      <rPr>
        <sz val="10"/>
        <rFont val="Noto Sans CJK SC"/>
        <family val="2"/>
      </rPr>
      <t xml:space="preserve">일시정지</t>
    </r>
    <r>
      <rPr>
        <sz val="10"/>
        <rFont val="Cambria"/>
        <family val="1"/>
        <charset val="1"/>
      </rPr>
      <t xml:space="preserve">(X)·</t>
    </r>
    <r>
      <rPr>
        <sz val="10"/>
        <rFont val="Noto Sans CJK SC"/>
        <family val="2"/>
      </rPr>
      <t xml:space="preserve">정지</t>
    </r>
    <r>
      <rPr>
        <sz val="10"/>
        <rFont val="Cambria"/>
        <family val="1"/>
        <charset val="1"/>
      </rPr>
      <t xml:space="preserve">(Z), </t>
    </r>
    <r>
      <rPr>
        <sz val="10"/>
        <rFont val="Noto Sans CJK SC"/>
        <family val="2"/>
      </rPr>
      <t xml:space="preserve">안내판 </t>
    </r>
    <r>
      <rPr>
        <sz val="10"/>
        <rFont val="Cambria"/>
        <family val="1"/>
        <charset val="1"/>
      </rPr>
      <t xml:space="preserve">Z·X·C</t>
    </r>
  </si>
  <si>
    <t xml:space="preserve">TC-18</t>
  </si>
  <si>
    <t xml:space="preserve">FR-15</t>
  </si>
  <si>
    <t xml:space="preserve">도달·실패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</si>
  <si>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보관대 </t>
    </r>
    <r>
      <rPr>
        <sz val="10"/>
        <rFont val="Cambria"/>
        <family val="1"/>
        <charset val="1"/>
      </rPr>
      <t xml:space="preserve">3</t>
    </r>
    <r>
      <rPr>
        <sz val="10"/>
        <rFont val="Noto Sans CJK SC"/>
        <family val="2"/>
      </rPr>
      <t xml:space="preserve">곳 컵으로 커피 실행 </t>
    </r>
    <r>
      <rPr>
        <sz val="10"/>
        <rFont val="Cambria"/>
        <family val="1"/>
        <charset val="1"/>
      </rPr>
      <t xml:space="preserve">(</t>
    </r>
    <r>
      <rPr>
        <sz val="10"/>
        <rFont val="Noto Sans CJK SC"/>
        <family val="2"/>
      </rPr>
      <t xml:space="preserve">추출구 위치 오차 확인</t>
    </r>
    <r>
      <rPr>
        <sz val="10"/>
        <rFont val="Cambria"/>
        <family val="1"/>
        <charset val="1"/>
      </rPr>
      <t xml:space="preserve">)
2) </t>
    </r>
    <r>
      <rPr>
        <sz val="10"/>
        <rFont val="Noto Sans CJK SC"/>
        <family val="2"/>
      </rPr>
      <t xml:space="preserve">컵 하나를 밑동에서 </t>
    </r>
    <r>
      <rPr>
        <sz val="10"/>
        <rFont val="Cambria"/>
        <family val="1"/>
        <charset val="1"/>
      </rPr>
      <t xml:space="preserve">0.62m </t>
    </r>
    <r>
      <rPr>
        <sz val="10"/>
        <rFont val="Noto Sans CJK SC"/>
        <family val="2"/>
      </rPr>
      <t xml:space="preserve">밖으로 옮기고 실행</t>
    </r>
  </si>
  <si>
    <t xml:space="preserve">추출구 아래 2cm 이내 정지, 0.62m 밖 컵은 '작업 실패' → 컵 보관대·홈 → 대기</t>
  </si>
  <si>
    <r>
      <rPr>
        <sz val="10"/>
        <rFont val="Cambria"/>
        <family val="1"/>
        <charset val="1"/>
      </rPr>
      <t xml:space="preserve">0.70m </t>
    </r>
    <r>
      <rPr>
        <sz val="10"/>
        <rFont val="Noto Sans CJK SC"/>
        <family val="2"/>
      </rPr>
      <t xml:space="preserve">컵 → 작업 실패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컵 보관대 복귀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대기</t>
    </r>
  </si>
  <si>
    <t xml:space="preserve">TC-33</t>
  </si>
  <si>
    <t xml:space="preserve">FR-25</t>
  </si>
  <si>
    <t xml:space="preserve">커피 기록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</si>
  <si>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커피 실행 후 기록 패널 열기</t>
    </r>
  </si>
  <si>
    <r>
      <rPr>
        <sz val="10"/>
        <rFont val="Cambria"/>
        <family val="1"/>
        <charset val="1"/>
      </rPr>
      <t xml:space="preserve">'</t>
    </r>
    <r>
      <rPr>
        <sz val="10"/>
        <rFont val="Noto Sans CJK SC"/>
        <family val="2"/>
      </rPr>
      <t xml:space="preserve">커피 만들기 시작</t>
    </r>
    <r>
      <rPr>
        <sz val="10"/>
        <rFont val="Cambria"/>
        <family val="1"/>
        <charset val="1"/>
      </rPr>
      <t xml:space="preserve">' → '</t>
    </r>
    <r>
      <rPr>
        <sz val="10"/>
        <rFont val="Noto Sans CJK SC"/>
        <family val="2"/>
      </rPr>
      <t xml:space="preserve">로봇팔 상태 변경</t>
    </r>
    <r>
      <rPr>
        <sz val="10"/>
        <rFont val="Cambria"/>
        <family val="1"/>
        <charset val="1"/>
      </rPr>
      <t xml:space="preserve">: …' → '</t>
    </r>
    <r>
      <rPr>
        <sz val="10"/>
        <rFont val="Noto Sans CJK SC"/>
        <family val="2"/>
      </rPr>
      <t xml:space="preserve">커피 완료</t>
    </r>
    <r>
      <rPr>
        <sz val="10"/>
        <rFont val="Cambria"/>
        <family val="1"/>
        <charset val="1"/>
      </rPr>
      <t xml:space="preserve">' </t>
    </r>
    <r>
      <rPr>
        <sz val="10"/>
        <rFont val="Noto Sans CJK SC"/>
        <family val="2"/>
      </rPr>
      <t xml:space="preserve">순서</t>
    </r>
  </si>
  <si>
    <t xml:space="preserve">시작 → 상태 변경 → 완료 순서</t>
  </si>
  <si>
    <t xml:space="preserve">TC-34</t>
  </si>
  <si>
    <t xml:space="preserve">FR-26</t>
  </si>
  <si>
    <t xml:space="preserve">권오민·김찬중</t>
  </si>
  <si>
    <t xml:space="preserve">위치·옵션 초기화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</si>
  <si>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커피 작업 중 </t>
    </r>
    <r>
      <rPr>
        <sz val="10"/>
        <rFont val="Cambria"/>
        <family val="1"/>
        <charset val="1"/>
      </rPr>
      <t xml:space="preserve">[</t>
    </r>
    <r>
      <rPr>
        <sz val="10"/>
        <rFont val="Noto Sans CJK SC"/>
        <family val="2"/>
      </rPr>
      <t xml:space="preserve">위치 초기화</t>
    </r>
    <r>
      <rPr>
        <sz val="10"/>
        <rFont val="Cambria"/>
        <family val="1"/>
        <charset val="1"/>
      </rPr>
      <t xml:space="preserve">]
2) </t>
    </r>
    <r>
      <rPr>
        <sz val="10"/>
        <rFont val="Noto Sans CJK SC"/>
        <family val="2"/>
      </rPr>
      <t xml:space="preserve">옵션 몇 개 바꾼 뒤 </t>
    </r>
    <r>
      <rPr>
        <sz val="10"/>
        <rFont val="Cambria"/>
        <family val="1"/>
        <charset val="1"/>
      </rPr>
      <t xml:space="preserve">[</t>
    </r>
    <r>
      <rPr>
        <sz val="10"/>
        <rFont val="Noto Sans CJK SC"/>
        <family val="2"/>
      </rPr>
      <t xml:space="preserve">위치 초기화</t>
    </r>
    <r>
      <rPr>
        <sz val="10"/>
        <rFont val="Cambria"/>
        <family val="1"/>
        <charset val="1"/>
      </rPr>
      <t xml:space="preserve">]
3) [</t>
    </r>
    <r>
      <rPr>
        <sz val="10"/>
        <rFont val="Noto Sans CJK SC"/>
        <family val="2"/>
      </rPr>
      <t xml:space="preserve">옵션 초기화</t>
    </r>
    <r>
      <rPr>
        <sz val="10"/>
        <rFont val="Cambria"/>
        <family val="1"/>
        <charset val="1"/>
      </rPr>
      <t xml:space="preserve">]</t>
    </r>
  </si>
  <si>
    <t xml:space="preserve">위치 초기화: 옵션 유지, 나머지(위치·조명·로봇·시각) 처음 상태. 옵션 초기화: 모든 파트 기본, 합계 0원</t>
  </si>
  <si>
    <t xml:space="preserve">위치 초기화: 옵션 유지·12시·현관·커피 대기 / 옵션 초기화: 기본·0원·원래 재질</t>
  </si>
  <si>
    <t xml:space="preserve">TC-47-01</t>
  </si>
  <si>
    <t xml:space="preserve">FR-29-01</t>
  </si>
  <si>
    <t xml:space="preserve">벽지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</si>
  <si>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벽지 선택지 전부 차례로 적용</t>
    </r>
  </si>
  <si>
    <r>
      <rPr>
        <sz val="10"/>
        <rFont val="Cambria"/>
        <family val="1"/>
        <charset val="1"/>
      </rPr>
      <t xml:space="preserve">1</t>
    </r>
    <r>
      <rPr>
        <sz val="10"/>
        <rFont val="Noto Sans CJK SC"/>
        <family val="2"/>
      </rPr>
      <t xml:space="preserve">초 이내 반영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이전 선택 해제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다른 파트 유지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비용 갱신</t>
    </r>
  </si>
  <si>
    <t xml:space="preserve">반영·이전 해제·다른 파트 유지·비용 갱신</t>
  </si>
  <si>
    <t xml:space="preserve">TC-47-02</t>
  </si>
  <si>
    <t xml:space="preserve">FR-29-02</t>
  </si>
  <si>
    <t xml:space="preserve">바닥재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</si>
  <si>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바닥재 선택지 전부 적용</t>
    </r>
  </si>
  <si>
    <t xml:space="preserve">TC-47-03</t>
  </si>
  <si>
    <t xml:space="preserve">FR-29-03</t>
  </si>
  <si>
    <t xml:space="preserve">주방 상판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</si>
  <si>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상판 선택지 전부 적용</t>
    </r>
  </si>
  <si>
    <t xml:space="preserve">재질형(다크 스톤) 포함</t>
  </si>
  <si>
    <t xml:space="preserve">TC-47-04</t>
  </si>
  <si>
    <t xml:space="preserve">FR-29-04</t>
  </si>
  <si>
    <t xml:space="preserve">소파 패브릭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</si>
  <si>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소파 선택지 전부 적용</t>
    </r>
  </si>
  <si>
    <t xml:space="preserve">재질형(웜 그레이·네이비) 포함</t>
  </si>
  <si>
    <t xml:space="preserve">TC-47-05</t>
  </si>
  <si>
    <t xml:space="preserve">FR-29-05</t>
  </si>
  <si>
    <t xml:space="preserve">러그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</si>
  <si>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러그 선택지 전부 적용</t>
    </r>
  </si>
  <si>
    <t xml:space="preserve">재질형(베이지·차콜) 포함</t>
  </si>
  <si>
    <t xml:space="preserve">TC-47-06</t>
  </si>
  <si>
    <t xml:space="preserve">FR-29-06</t>
  </si>
  <si>
    <t xml:space="preserve">그림 액자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</si>
  <si>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액자 선택지 전부 적용</t>
    </r>
  </si>
  <si>
    <t xml:space="preserve">TC-47-07</t>
  </si>
  <si>
    <t xml:space="preserve">FR-29-07</t>
  </si>
  <si>
    <t xml:space="preserve">화분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</si>
  <si>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화분 선택지 전부 적용</t>
    </r>
  </si>
  <si>
    <t xml:space="preserve">TC-48</t>
  </si>
  <si>
    <t xml:space="preserve">FR-30</t>
  </si>
  <si>
    <t xml:space="preserve">시간대</t>
  </si>
  <si>
    <r>
      <rPr>
        <sz val="10"/>
        <rFont val="Cambria"/>
        <family val="1"/>
        <charset val="1"/>
      </rPr>
      <t xml:space="preserve">1) 06·09·12·18·22</t>
    </r>
    <r>
      <rPr>
        <sz val="10"/>
        <rFont val="Noto Sans CJK SC"/>
        <family val="2"/>
      </rPr>
      <t xml:space="preserve">시 버튼 차례로 누르기
</t>
    </r>
    <r>
      <rPr>
        <sz val="10"/>
        <rFont val="Cambria"/>
        <family val="1"/>
        <charset val="1"/>
      </rPr>
      <t xml:space="preserve">2) </t>
    </r>
    <r>
      <rPr>
        <sz val="10"/>
        <rFont val="Noto Sans CJK SC"/>
        <family val="2"/>
      </rPr>
      <t xml:space="preserve">구역 이동</t>
    </r>
    <r>
      <rPr>
        <sz val="10"/>
        <rFont val="Cambria"/>
        <family val="1"/>
        <charset val="1"/>
      </rPr>
      <t xml:space="preserve">·</t>
    </r>
    <r>
      <rPr>
        <sz val="10"/>
        <rFont val="Noto Sans CJK SC"/>
        <family val="2"/>
      </rPr>
      <t xml:space="preserve">조명 켜고 끈 뒤 조도 확인</t>
    </r>
  </si>
  <si>
    <t xml:space="preserve">해 고도·방위·햇빛·환경광·조도가 부록 A-8과 같음, 1초 이내 반영, 조도 0.5초 이내 재계산, 로봇팔 색 변화 없음</t>
  </si>
  <si>
    <r>
      <rPr>
        <sz val="10"/>
        <rFont val="Cambria"/>
        <family val="1"/>
        <charset val="1"/>
      </rPr>
      <t xml:space="preserve">06/09/12/18/22</t>
    </r>
    <r>
      <rPr>
        <sz val="10"/>
        <rFont val="Noto Sans CJK SC"/>
        <family val="2"/>
      </rPr>
      <t xml:space="preserve">시 </t>
    </r>
    <r>
      <rPr>
        <sz val="10"/>
        <rFont val="Cambria"/>
        <family val="1"/>
        <charset val="1"/>
      </rPr>
      <t xml:space="preserve">A-8 </t>
    </r>
    <r>
      <rPr>
        <sz val="10"/>
        <rFont val="Noto Sans CJK SC"/>
        <family val="2"/>
      </rPr>
      <t xml:space="preserve">값 일치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적용 </t>
    </r>
    <r>
      <rPr>
        <sz val="10"/>
        <rFont val="Cambria"/>
        <family val="1"/>
        <charset val="1"/>
      </rPr>
      <t xml:space="preserve">0ms, </t>
    </r>
    <r>
      <rPr>
        <sz val="10"/>
        <rFont val="Noto Sans CJK SC"/>
        <family val="2"/>
      </rPr>
      <t xml:space="preserve">거실 </t>
    </r>
    <r>
      <rPr>
        <sz val="10"/>
        <rFont val="Cambria"/>
        <family val="1"/>
        <charset val="1"/>
      </rPr>
      <t xml:space="preserve">400/700/1100/400/300lx(</t>
    </r>
    <r>
      <rPr>
        <sz val="10"/>
        <rFont val="Noto Sans CJK SC"/>
        <family val="2"/>
      </rPr>
      <t xml:space="preserve">조명 켜짐 포함</t>
    </r>
    <r>
      <rPr>
        <sz val="10"/>
        <rFont val="Cambria"/>
        <family val="1"/>
        <charset val="1"/>
      </rPr>
      <t xml:space="preserve">)</t>
    </r>
  </si>
  <si>
    <t xml:space="preserve">TC-49</t>
  </si>
  <si>
    <t xml:space="preserve">FR-31</t>
  </si>
  <si>
    <t xml:space="preserve">추가 비용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</si>
  <si>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옵션 여러 개 바꾸며 합계 확인
</t>
    </r>
    <r>
      <rPr>
        <sz val="10"/>
        <rFont val="Cambria"/>
        <family val="1"/>
        <charset val="1"/>
      </rPr>
      <t xml:space="preserve">2) </t>
    </r>
    <r>
      <rPr>
        <sz val="10"/>
        <rFont val="Noto Sans CJK SC"/>
        <family val="2"/>
      </rPr>
      <t xml:space="preserve">모두 기본으로</t>
    </r>
  </si>
  <si>
    <t xml:space="preserve">합계 = 부록 A-7 추가 비용 합, 모두 기본이면 0원</t>
  </si>
  <si>
    <r>
      <rPr>
        <sz val="10"/>
        <rFont val="Cambria"/>
        <family val="1"/>
        <charset val="1"/>
      </rPr>
      <t xml:space="preserve">5</t>
    </r>
    <r>
      <rPr>
        <sz val="10"/>
        <rFont val="Noto Sans CJK SC"/>
        <family val="2"/>
      </rPr>
      <t xml:space="preserve">개 변경 </t>
    </r>
    <r>
      <rPr>
        <sz val="10"/>
        <rFont val="Cambria"/>
        <family val="1"/>
        <charset val="1"/>
      </rPr>
      <t xml:space="preserve">6,180,000</t>
    </r>
    <r>
      <rPr>
        <sz val="10"/>
        <rFont val="Noto Sans CJK SC"/>
        <family val="2"/>
      </rPr>
      <t xml:space="preserve">원 </t>
    </r>
    <r>
      <rPr>
        <sz val="10"/>
        <rFont val="Cambria"/>
        <family val="1"/>
        <charset val="1"/>
      </rPr>
      <t xml:space="preserve">= </t>
    </r>
    <r>
      <rPr>
        <sz val="10"/>
        <rFont val="Noto Sans CJK SC"/>
        <family val="2"/>
      </rPr>
      <t xml:space="preserve">기대값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모두 기본 </t>
    </r>
    <r>
      <rPr>
        <sz val="10"/>
        <rFont val="Cambria"/>
        <family val="1"/>
        <charset val="1"/>
      </rPr>
      <t xml:space="preserve">0</t>
    </r>
    <r>
      <rPr>
        <sz val="10"/>
        <rFont val="Noto Sans CJK SC"/>
        <family val="2"/>
      </rPr>
      <t xml:space="preserve">원</t>
    </r>
  </si>
  <si>
    <t xml:space="preserve">TC-52</t>
  </si>
  <si>
    <t xml:space="preserve">NFR-10</t>
  </si>
  <si>
    <t xml:space="preserve">렌더링 설정</t>
  </si>
  <si>
    <r>
      <rPr>
        <sz val="10"/>
        <rFont val="Cambria"/>
        <family val="1"/>
        <charset val="1"/>
      </rPr>
      <t xml:space="preserve">1) URP </t>
    </r>
    <r>
      <rPr>
        <sz val="10"/>
        <rFont val="Noto Sans CJK SC"/>
        <family val="2"/>
      </rPr>
      <t xml:space="preserve">에셋</t>
    </r>
    <r>
      <rPr>
        <sz val="10"/>
        <rFont val="Cambria"/>
        <family val="1"/>
        <charset val="1"/>
      </rPr>
      <t xml:space="preserve">·Lighting·</t>
    </r>
    <r>
      <rPr>
        <sz val="10"/>
        <rFont val="Noto Sans CJK SC"/>
        <family val="2"/>
      </rPr>
      <t xml:space="preserve">프로브검사</t>
    </r>
  </si>
  <si>
    <r>
      <rPr>
        <sz val="10"/>
        <rFont val="Cambria"/>
        <family val="1"/>
        <charset val="1"/>
      </rPr>
      <t xml:space="preserve">Forward+, Baked Indirect, </t>
    </r>
    <r>
      <rPr>
        <sz val="10"/>
        <rFont val="Noto Sans CJK SC"/>
        <family val="2"/>
      </rPr>
      <t xml:space="preserve">구역별 반사 프로브</t>
    </r>
  </si>
  <si>
    <r>
      <rPr>
        <sz val="10"/>
        <rFont val="Cambria"/>
        <family val="1"/>
        <charset val="1"/>
      </rPr>
      <t xml:space="preserve">Forward+, </t>
    </r>
    <r>
      <rPr>
        <sz val="10"/>
        <rFont val="Noto Sans CJK SC"/>
        <family val="2"/>
      </rPr>
      <t xml:space="preserve">라이트맵 </t>
    </r>
    <r>
      <rPr>
        <sz val="10"/>
        <rFont val="Cambria"/>
        <family val="1"/>
        <charset val="1"/>
      </rPr>
      <t xml:space="preserve">2</t>
    </r>
    <r>
      <rPr>
        <sz val="10"/>
        <rFont val="Noto Sans CJK SC"/>
        <family val="2"/>
      </rPr>
      <t xml:space="preserve">장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반사 프로브 </t>
    </r>
    <r>
      <rPr>
        <sz val="10"/>
        <rFont val="Cambria"/>
        <family val="1"/>
        <charset val="1"/>
      </rPr>
      <t xml:space="preserve">7</t>
    </r>
    <r>
      <rPr>
        <sz val="10"/>
        <rFont val="Noto Sans CJK SC"/>
        <family val="2"/>
      </rPr>
      <t xml:space="preserve">개</t>
    </r>
    <r>
      <rPr>
        <sz val="10"/>
        <rFont val="Cambria"/>
        <family val="1"/>
        <charset val="1"/>
      </rPr>
      <t xml:space="preserve">(</t>
    </r>
    <r>
      <rPr>
        <sz val="10"/>
        <rFont val="Noto Sans CJK SC"/>
        <family val="2"/>
      </rPr>
      <t xml:space="preserve">실시간 </t>
    </r>
    <r>
      <rPr>
        <sz val="10"/>
        <rFont val="Cambria"/>
        <family val="1"/>
        <charset val="1"/>
      </rPr>
      <t xml:space="preserve">0), Global Volume Tonemapping·Bloom·Vignette. Baked Indirect</t>
    </r>
    <r>
      <rPr>
        <sz val="10"/>
        <rFont val="Noto Sans CJK SC"/>
        <family val="2"/>
      </rPr>
      <t xml:space="preserve">는 </t>
    </r>
    <r>
      <rPr>
        <sz val="10"/>
        <rFont val="Cambria"/>
        <family val="1"/>
        <charset val="1"/>
      </rPr>
      <t xml:space="preserve">Lighting </t>
    </r>
    <r>
      <rPr>
        <sz val="10"/>
        <rFont val="Noto Sans CJK SC"/>
        <family val="2"/>
      </rPr>
      <t xml:space="preserve">창 확인</t>
    </r>
  </si>
  <si>
    <t xml:space="preserve">TC-54</t>
  </si>
  <si>
    <t xml:space="preserve">재실 판정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</si>
  <si>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두 구역 경계에 서 있기
</t>
    </r>
    <r>
      <rPr>
        <sz val="10"/>
        <rFont val="Cambria"/>
        <family val="1"/>
        <charset val="1"/>
      </rPr>
      <t xml:space="preserve">2) Play </t>
    </r>
    <r>
      <rPr>
        <sz val="10"/>
        <rFont val="Noto Sans CJK SC"/>
        <family val="2"/>
      </rPr>
      <t xml:space="preserve">시작 직후</t>
    </r>
    <r>
      <rPr>
        <sz val="10"/>
        <rFont val="Cambria"/>
        <family val="1"/>
        <charset val="1"/>
      </rPr>
      <t xml:space="preserve">·[</t>
    </r>
    <r>
      <rPr>
        <sz val="10"/>
        <rFont val="Noto Sans CJK SC"/>
        <family val="2"/>
      </rPr>
      <t xml:space="preserve">위치 초기화</t>
    </r>
    <r>
      <rPr>
        <sz val="10"/>
        <rFont val="Cambria"/>
        <family val="1"/>
        <charset val="1"/>
      </rPr>
      <t xml:space="preserve">] </t>
    </r>
    <r>
      <rPr>
        <sz val="10"/>
        <rFont val="Noto Sans CJK SC"/>
        <family val="2"/>
      </rPr>
      <t xml:space="preserve">직후 확인</t>
    </r>
  </si>
  <si>
    <t xml:space="preserve">시점 위치 구역만 입실, 시작·초기화 후 현관 입실·조명 켜짐</t>
  </si>
  <si>
    <t xml:space="preserve">현관 재실 True, 현관 조명 1.00</t>
  </si>
  <si>
    <t xml:space="preserve">TC-37</t>
  </si>
  <si>
    <t xml:space="preserve">NFR-01</t>
  </si>
  <si>
    <t xml:space="preserve">FPS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</si>
  <si>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빌드 실행 파일로 전체 시나리오 진행</t>
    </r>
    <r>
      <rPr>
        <sz val="10"/>
        <rFont val="Cambria"/>
        <family val="1"/>
        <charset val="1"/>
      </rPr>
      <t xml:space="preserve">, Profiler </t>
    </r>
    <r>
      <rPr>
        <sz val="10"/>
        <rFont val="Noto Sans CJK SC"/>
        <family val="2"/>
      </rPr>
      <t xml:space="preserve">측정</t>
    </r>
  </si>
  <si>
    <r>
      <rPr>
        <sz val="10"/>
        <rFont val="Cambria"/>
        <family val="1"/>
        <charset val="1"/>
      </rPr>
      <t xml:space="preserve">1920x1080 </t>
    </r>
    <r>
      <rPr>
        <sz val="10"/>
        <rFont val="Noto Sans CJK SC"/>
        <family val="2"/>
      </rPr>
      <t xml:space="preserve">평균 </t>
    </r>
    <r>
      <rPr>
        <sz val="10"/>
        <rFont val="Cambria"/>
        <family val="1"/>
        <charset val="1"/>
      </rPr>
      <t xml:space="preserve">60 / </t>
    </r>
    <r>
      <rPr>
        <sz val="10"/>
        <rFont val="Noto Sans CJK SC"/>
        <family val="2"/>
      </rPr>
      <t xml:space="preserve">최저 </t>
    </r>
    <r>
      <rPr>
        <sz val="10"/>
        <rFont val="Cambria"/>
        <family val="1"/>
        <charset val="1"/>
      </rPr>
      <t xml:space="preserve">30 FPS</t>
    </r>
  </si>
  <si>
    <t xml:space="preserve">보류</t>
  </si>
  <si>
    <r>
      <rPr>
        <sz val="10"/>
        <rFont val="Noto Sans CJK SC"/>
        <family val="2"/>
      </rPr>
      <t xml:space="preserve">에디터 점검 중 평균 </t>
    </r>
    <r>
      <rPr>
        <sz val="10"/>
        <rFont val="Cambria"/>
        <family val="1"/>
        <charset val="1"/>
      </rPr>
      <t xml:space="preserve">76 FPS(</t>
    </r>
    <r>
      <rPr>
        <sz val="10"/>
        <rFont val="Noto Sans CJK SC"/>
        <family val="2"/>
      </rPr>
      <t xml:space="preserve">참고</t>
    </r>
    <r>
      <rPr>
        <sz val="10"/>
        <rFont val="Cambria"/>
        <family val="1"/>
        <charset val="1"/>
      </rPr>
      <t xml:space="preserve">). </t>
    </r>
    <r>
      <rPr>
        <sz val="10"/>
        <rFont val="Noto Sans CJK SC"/>
        <family val="2"/>
      </rPr>
      <t xml:space="preserve">빌드 실행 파일 </t>
    </r>
    <r>
      <rPr>
        <sz val="10"/>
        <rFont val="Cambria"/>
        <family val="1"/>
        <charset val="1"/>
      </rPr>
      <t xml:space="preserve">+ Profiler </t>
    </r>
    <r>
      <rPr>
        <sz val="10"/>
        <rFont val="Noto Sans CJK SC"/>
        <family val="2"/>
      </rPr>
      <t xml:space="preserve">측정 필요 </t>
    </r>
    <r>
      <rPr>
        <sz val="10"/>
        <rFont val="Cambria"/>
        <family val="1"/>
        <charset val="1"/>
      </rPr>
      <t xml:space="preserve">(5.05·5.09)</t>
    </r>
  </si>
  <si>
    <t xml:space="preserve">TC-38</t>
  </si>
  <si>
    <t xml:space="preserve">NFR-02</t>
  </si>
  <si>
    <t xml:space="preserve">반응 시간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</si>
  <si>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기록의 </t>
    </r>
    <r>
      <rPr>
        <sz val="10"/>
        <rFont val="Cambria"/>
        <family val="1"/>
        <charset val="1"/>
      </rPr>
      <t xml:space="preserve">'</t>
    </r>
    <r>
      <rPr>
        <sz val="10"/>
        <rFont val="Noto Sans CJK SC"/>
        <family val="2"/>
      </rPr>
      <t xml:space="preserve">방 진입</t>
    </r>
    <r>
      <rPr>
        <sz val="10"/>
        <rFont val="Cambria"/>
        <family val="1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Cambria"/>
        <family val="1"/>
        <charset val="1"/>
      </rPr>
      <t xml:space="preserve">'</t>
    </r>
    <r>
      <rPr>
        <sz val="10"/>
        <rFont val="Noto Sans CJK SC"/>
        <family val="2"/>
      </rPr>
      <t xml:space="preserve">조명 켜기 시작</t>
    </r>
    <r>
      <rPr>
        <sz val="10"/>
        <rFont val="Cambria"/>
        <family val="1"/>
        <charset val="1"/>
      </rPr>
      <t xml:space="preserve">' </t>
    </r>
    <r>
      <rPr>
        <sz val="10"/>
        <rFont val="Noto Sans CJK SC"/>
        <family val="2"/>
      </rPr>
      <t xml:space="preserve">시각 차이 계산</t>
    </r>
  </si>
  <si>
    <r>
      <rPr>
        <sz val="10"/>
        <rFont val="Cambria"/>
        <family val="1"/>
        <charset val="1"/>
      </rPr>
      <t xml:space="preserve">0.5</t>
    </r>
    <r>
      <rPr>
        <sz val="10"/>
        <rFont val="Noto Sans CJK SC"/>
        <family val="2"/>
      </rPr>
      <t xml:space="preserve">초 이내</t>
    </r>
  </si>
  <si>
    <t xml:space="preserve">0ms</t>
  </si>
  <si>
    <t xml:space="preserve">TC-39</t>
  </si>
  <si>
    <t xml:space="preserve">NFR-03</t>
  </si>
  <si>
    <t xml:space="preserve">스케일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</si>
  <si>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공간 에셋 배율</t>
    </r>
    <r>
      <rPr>
        <sz val="10"/>
        <rFont val="Cambria"/>
        <family val="1"/>
        <charset val="1"/>
      </rPr>
      <t xml:space="preserve">·</t>
    </r>
    <r>
      <rPr>
        <sz val="10"/>
        <rFont val="Noto Sans CJK SC"/>
        <family val="2"/>
      </rPr>
      <t xml:space="preserve">문 높이 검사</t>
    </r>
  </si>
  <si>
    <t xml:space="preserve">배율 1, 문 높이 약 2.5m</t>
  </si>
  <si>
    <r>
      <rPr>
        <sz val="10"/>
        <rFont val="Noto Sans CJK SC"/>
        <family val="2"/>
      </rPr>
      <t xml:space="preserve">문 </t>
    </r>
    <r>
      <rPr>
        <sz val="10"/>
        <rFont val="Cambria"/>
        <family val="1"/>
        <charset val="1"/>
      </rPr>
      <t xml:space="preserve">4</t>
    </r>
    <r>
      <rPr>
        <sz val="10"/>
        <rFont val="Noto Sans CJK SC"/>
        <family val="2"/>
      </rPr>
      <t xml:space="preserve">개 </t>
    </r>
    <r>
      <rPr>
        <sz val="10"/>
        <rFont val="Cambria"/>
        <family val="1"/>
        <charset val="1"/>
      </rPr>
      <t xml:space="preserve">2.51~2.55m. </t>
    </r>
    <r>
      <rPr>
        <sz val="10"/>
        <rFont val="Noto Sans CJK SC"/>
        <family val="2"/>
      </rPr>
      <t xml:space="preserve">공간 루트 배율 </t>
    </r>
    <r>
      <rPr>
        <sz val="10"/>
        <rFont val="Cambria"/>
        <family val="1"/>
        <charset val="1"/>
      </rPr>
      <t xml:space="preserve">1 (</t>
    </r>
    <r>
      <rPr>
        <sz val="10"/>
        <rFont val="Noto Sans CJK SC"/>
        <family val="2"/>
      </rPr>
      <t xml:space="preserve">소품 일부는 에셋 원본 배치에 크기</t>
    </r>
    <r>
      <rPr>
        <sz val="10"/>
        <rFont val="Cambria"/>
        <family val="1"/>
        <charset val="1"/>
      </rPr>
      <t xml:space="preserve">·</t>
    </r>
    <r>
      <rPr>
        <sz val="10"/>
        <rFont val="Noto Sans CJK SC"/>
        <family val="2"/>
      </rPr>
      <t xml:space="preserve">좌우 반전 있음</t>
    </r>
    <r>
      <rPr>
        <sz val="10"/>
        <rFont val="Cambria"/>
        <family val="1"/>
        <charset val="1"/>
      </rPr>
      <t xml:space="preserve">)</t>
    </r>
  </si>
  <si>
    <t xml:space="preserve">TC-41</t>
  </si>
  <si>
    <t xml:space="preserve">NFR-05</t>
  </si>
  <si>
    <t xml:space="preserve">데이터 소스 교체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</si>
  <si>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시험용 데이터 소스로 바꾸고 고친 파일 목록 확인</t>
    </r>
  </si>
  <si>
    <t xml:space="preserve">소비자 코드 수정 없음</t>
  </si>
  <si>
    <r>
      <rPr>
        <sz val="10"/>
        <rFont val="Noto Sans CJK SC"/>
        <family val="2"/>
      </rPr>
      <t xml:space="preserve">시험용 데이터 소스 교체 수행 기록 없음 </t>
    </r>
    <r>
      <rPr>
        <sz val="10"/>
        <rFont val="Cambria"/>
        <family val="1"/>
        <charset val="1"/>
      </rPr>
      <t xml:space="preserve">(5.07). </t>
    </r>
    <r>
      <rPr>
        <sz val="10"/>
        <rFont val="Noto Sans CJK SC"/>
        <family val="2"/>
      </rPr>
      <t xml:space="preserve">수행했으면 통과로 바꾸고 증거 기재</t>
    </r>
  </si>
  <si>
    <t xml:space="preserve">TC-42</t>
  </si>
  <si>
    <t xml:space="preserve">NFR-06</t>
  </si>
  <si>
    <t xml:space="preserve">로봇 교체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</si>
  <si>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시험용 로봇팔 추가 후 커피</t>
    </r>
    <r>
      <rPr>
        <sz val="10"/>
        <rFont val="Cambria"/>
        <family val="1"/>
        <charset val="1"/>
      </rPr>
      <t xml:space="preserve">·</t>
    </r>
    <r>
      <rPr>
        <sz val="10"/>
        <rFont val="Noto Sans CJK SC"/>
        <family val="2"/>
      </rPr>
      <t xml:space="preserve">초기화 실행</t>
    </r>
  </si>
  <si>
    <t xml:space="preserve">코드 수정 없이 동작</t>
  </si>
  <si>
    <r>
      <rPr>
        <sz val="10"/>
        <rFont val="Noto Sans CJK SC"/>
        <family val="2"/>
      </rPr>
      <t xml:space="preserve">시험용 로봇팔 교체 수행 기록 없음 </t>
    </r>
    <r>
      <rPr>
        <sz val="10"/>
        <rFont val="Cambria"/>
        <family val="1"/>
        <charset val="1"/>
      </rPr>
      <t xml:space="preserve">(5.07). </t>
    </r>
    <r>
      <rPr>
        <sz val="10"/>
        <rFont val="Noto Sans CJK SC"/>
        <family val="2"/>
      </rPr>
      <t xml:space="preserve">수행했으면 통과로 바꾸고 증거 기재</t>
    </r>
  </si>
  <si>
    <t xml:space="preserve">TC-43</t>
  </si>
  <si>
    <t xml:space="preserve">NFR-07</t>
  </si>
  <si>
    <t xml:space="preserve">클릭 수</t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</si>
  <si>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옵션 변경</t>
    </r>
    <r>
      <rPr>
        <sz val="10"/>
        <rFont val="Cambria"/>
        <family val="1"/>
        <charset val="1"/>
      </rPr>
      <t xml:space="preserve">, </t>
    </r>
    <r>
      <rPr>
        <sz val="10"/>
        <rFont val="Noto Sans CJK SC"/>
        <family val="2"/>
      </rPr>
      <t xml:space="preserve">커피 만들기까지 클릭 수 세기</t>
    </r>
  </si>
  <si>
    <t xml:space="preserve">각각 3클릭 이내</t>
  </si>
  <si>
    <t xml:space="preserve">TC-44</t>
  </si>
  <si>
    <t xml:space="preserve">NFR-08</t>
  </si>
  <si>
    <r>
      <rPr>
        <sz val="10"/>
        <rFont val="Cambria"/>
        <family val="1"/>
        <charset val="1"/>
      </rPr>
      <t xml:space="preserve">OS </t>
    </r>
    <r>
      <rPr>
        <sz val="10"/>
        <rFont val="Noto Sans CJK SC"/>
        <family val="2"/>
      </rPr>
      <t xml:space="preserve">호환</t>
    </r>
  </si>
  <si>
    <r>
      <rPr>
        <sz val="10"/>
        <rFont val="Cambria"/>
        <family val="1"/>
        <charset val="1"/>
      </rPr>
      <t xml:space="preserve">1) Windows 10, 11</t>
    </r>
    <r>
      <rPr>
        <sz val="10"/>
        <rFont val="Noto Sans CJK SC"/>
        <family val="2"/>
      </rPr>
      <t xml:space="preserve">에서 실행 파일 실행</t>
    </r>
  </si>
  <si>
    <t xml:space="preserve">두 OS 모두 실행 (미확보 시 미검증 명시)</t>
  </si>
  <si>
    <r>
      <rPr>
        <sz val="10"/>
        <rFont val="Cambria"/>
        <family val="1"/>
        <charset val="1"/>
      </rPr>
      <t xml:space="preserve">Windows 11(10.0.26200)</t>
    </r>
    <r>
      <rPr>
        <sz val="10"/>
        <rFont val="Noto Sans CJK SC"/>
        <family val="2"/>
      </rPr>
      <t xml:space="preserve">에서만 확인</t>
    </r>
    <r>
      <rPr>
        <sz val="10"/>
        <rFont val="Cambria"/>
        <family val="1"/>
        <charset val="1"/>
      </rPr>
      <t xml:space="preserve">. Windows 10 PC </t>
    </r>
    <r>
      <rPr>
        <sz val="10"/>
        <rFont val="Noto Sans CJK SC"/>
        <family val="2"/>
      </rPr>
      <t xml:space="preserve">미확보 시 </t>
    </r>
    <r>
      <rPr>
        <sz val="10"/>
        <rFont val="Cambria"/>
        <family val="1"/>
        <charset val="1"/>
      </rPr>
      <t xml:space="preserve">'</t>
    </r>
    <r>
      <rPr>
        <sz val="10"/>
        <rFont val="Noto Sans CJK SC"/>
        <family val="2"/>
      </rPr>
      <t xml:space="preserve">미검증</t>
    </r>
    <r>
      <rPr>
        <sz val="10"/>
        <rFont val="Cambria"/>
        <family val="1"/>
        <charset val="1"/>
      </rPr>
      <t xml:space="preserve">'</t>
    </r>
    <r>
      <rPr>
        <sz val="10"/>
        <rFont val="Noto Sans CJK SC"/>
        <family val="2"/>
      </rPr>
      <t xml:space="preserve">으로 기재</t>
    </r>
  </si>
  <si>
    <t xml:space="preserve">TC-45</t>
  </si>
  <si>
    <t xml:space="preserve">NFR-09</t>
  </si>
  <si>
    <r>
      <rPr>
        <sz val="10"/>
        <rFont val="Cambria"/>
        <family val="1"/>
        <charset val="1"/>
      </rPr>
      <t xml:space="preserve">10</t>
    </r>
    <r>
      <rPr>
        <sz val="10"/>
        <rFont val="Noto Sans CJK SC"/>
        <family val="2"/>
      </rPr>
      <t xml:space="preserve">분 연속</t>
    </r>
  </si>
  <si>
    <r>
      <rPr>
        <sz val="10"/>
        <rFont val="Cambria"/>
        <family val="1"/>
        <charset val="1"/>
      </rPr>
      <t xml:space="preserve">1) </t>
    </r>
    <r>
      <rPr>
        <sz val="10"/>
        <rFont val="Noto Sans CJK SC"/>
        <family val="2"/>
      </rPr>
      <t xml:space="preserve">전체 시나리오 </t>
    </r>
    <r>
      <rPr>
        <sz val="10"/>
        <rFont val="Cambria"/>
        <family val="1"/>
        <charset val="1"/>
      </rPr>
      <t xml:space="preserve">10</t>
    </r>
    <r>
      <rPr>
        <sz val="10"/>
        <rFont val="Noto Sans CJK SC"/>
        <family val="2"/>
      </rPr>
      <t xml:space="preserve">분 연속 </t>
    </r>
    <r>
      <rPr>
        <sz val="10"/>
        <rFont val="Cambria"/>
        <family val="1"/>
        <charset val="1"/>
      </rPr>
      <t xml:space="preserve">+ </t>
    </r>
    <r>
      <rPr>
        <sz val="10"/>
        <rFont val="Noto Sans CJK SC"/>
        <family val="2"/>
      </rPr>
      <t xml:space="preserve">초기화 반복</t>
    </r>
  </si>
  <si>
    <t xml:space="preserve">강제 종료·중복 실행 없음</t>
  </si>
  <si>
    <t xml:space="preserve">버그 리포트</t>
  </si>
  <si>
    <t xml:space="preserve">열린 버그</t>
  </si>
  <si>
    <t xml:space="preserve">제목 (한 줄 요약)</t>
  </si>
  <si>
    <t xml:space="preserve">관련 TC</t>
  </si>
  <si>
    <t xml:space="preserve">심각도</t>
  </si>
  <si>
    <t xml:space="preserve">환경 (OS·빌드·디바이스)</t>
  </si>
  <si>
    <t xml:space="preserve">재현 단계</t>
  </si>
  <si>
    <t xml:space="preserve">실제 결과</t>
  </si>
  <si>
    <t xml:space="preserve">스크린샷/로그</t>
  </si>
  <si>
    <t xml:space="preserve">발견자</t>
  </si>
  <si>
    <t xml:space="preserve">발견일</t>
  </si>
  <si>
    <t xml:space="preserve">상태</t>
  </si>
  <si>
    <t xml:space="preserve">수정 커밋</t>
  </si>
  <si>
    <t xml:space="preserve">재시험 결과</t>
  </si>
  <si>
    <r>
      <rPr>
        <i val="true"/>
        <sz val="10"/>
        <color rgb="FF808080"/>
        <rFont val="Cambria"/>
        <family val="1"/>
        <charset val="1"/>
      </rPr>
      <t xml:space="preserve">BUG-</t>
    </r>
    <r>
      <rPr>
        <i val="true"/>
        <sz val="10"/>
        <color rgb="FF808080"/>
        <rFont val="Noto Sans CJK SC"/>
        <family val="2"/>
      </rPr>
      <t xml:space="preserve">예시</t>
    </r>
  </si>
  <si>
    <r>
      <rPr>
        <i val="true"/>
        <sz val="10"/>
        <color rgb="FF808080"/>
        <rFont val="Cambria"/>
        <family val="1"/>
        <charset val="1"/>
      </rPr>
      <t xml:space="preserve">(</t>
    </r>
    <r>
      <rPr>
        <i val="true"/>
        <sz val="10"/>
        <color rgb="FF808080"/>
        <rFont val="Noto Sans CJK SC"/>
        <family val="2"/>
      </rPr>
      <t xml:space="preserve">예</t>
    </r>
    <r>
      <rPr>
        <i val="true"/>
        <sz val="10"/>
        <color rgb="FF808080"/>
        <rFont val="Cambria"/>
        <family val="1"/>
        <charset val="1"/>
      </rPr>
      <t xml:space="preserve">) </t>
    </r>
    <r>
      <rPr>
        <i val="true"/>
        <sz val="10"/>
        <color rgb="FF808080"/>
        <rFont val="Noto Sans CJK SC"/>
        <family val="2"/>
      </rPr>
      <t xml:space="preserve">컵을 든 채 </t>
    </r>
    <r>
      <rPr>
        <i val="true"/>
        <sz val="10"/>
        <color rgb="FF808080"/>
        <rFont val="Cambria"/>
        <family val="1"/>
        <charset val="1"/>
      </rPr>
      <t xml:space="preserve">X</t>
    </r>
    <r>
      <rPr>
        <i val="true"/>
        <sz val="10"/>
        <color rgb="FF808080"/>
        <rFont val="Noto Sans CJK SC"/>
        <family val="2"/>
      </rPr>
      <t xml:space="preserve">를 누르면 추출이 일시정지되지 않음</t>
    </r>
  </si>
  <si>
    <t xml:space="preserve">높음</t>
  </si>
  <si>
    <r>
      <rPr>
        <i val="true"/>
        <sz val="10"/>
        <color rgb="FF808080"/>
        <rFont val="Cambria"/>
        <family val="1"/>
        <charset val="1"/>
      </rPr>
      <t xml:space="preserve">Windows 11 / Unity 6000.4.0f1 / </t>
    </r>
    <r>
      <rPr>
        <i val="true"/>
        <sz val="10"/>
        <color rgb="FF808080"/>
        <rFont val="Noto Sans CJK SC"/>
        <family val="2"/>
      </rPr>
      <t xml:space="preserve">커밋 </t>
    </r>
    <r>
      <rPr>
        <i val="true"/>
        <sz val="10"/>
        <color rgb="FF808080"/>
        <rFont val="Cambria"/>
        <family val="1"/>
        <charset val="1"/>
      </rPr>
      <t xml:space="preserve">dfe46d6 / </t>
    </r>
    <r>
      <rPr>
        <i val="true"/>
        <sz val="10"/>
        <color rgb="FF808080"/>
        <rFont val="Noto Sans CJK SC"/>
        <family val="2"/>
      </rPr>
      <t xml:space="preserve">에디터</t>
    </r>
  </si>
  <si>
    <r>
      <rPr>
        <i val="true"/>
        <sz val="10"/>
        <color rgb="FF808080"/>
        <rFont val="Cambria"/>
        <family val="1"/>
        <charset val="1"/>
      </rPr>
      <t xml:space="preserve">1) Play
2) </t>
    </r>
    <r>
      <rPr>
        <i val="true"/>
        <sz val="10"/>
        <color rgb="FF808080"/>
        <rFont val="Noto Sans CJK SC"/>
        <family val="2"/>
      </rPr>
      <t xml:space="preserve">로봇팔 앞에서 </t>
    </r>
    <r>
      <rPr>
        <i val="true"/>
        <sz val="10"/>
        <color rgb="FF808080"/>
        <rFont val="Cambria"/>
        <family val="1"/>
        <charset val="1"/>
      </rPr>
      <t xml:space="preserve">C
3) </t>
    </r>
    <r>
      <rPr>
        <i val="true"/>
        <sz val="10"/>
        <color rgb="FF808080"/>
        <rFont val="Noto Sans CJK SC"/>
        <family val="2"/>
      </rPr>
      <t xml:space="preserve">컵이 추출구 아래 도착한 순간 </t>
    </r>
    <r>
      <rPr>
        <i val="true"/>
        <sz val="10"/>
        <color rgb="FF808080"/>
        <rFont val="Cambria"/>
        <family val="1"/>
        <charset val="1"/>
      </rPr>
      <t xml:space="preserve">X</t>
    </r>
  </si>
  <si>
    <t xml:space="preserve">팔·추출·김이 멈추고, X를 다시 누르면 이어서 진행</t>
  </si>
  <si>
    <t xml:space="preserve">팔은 멈추지만 5초 뒤 '커피 추출 끝' 기록이 남음</t>
  </si>
  <si>
    <r>
      <rPr>
        <i val="true"/>
        <sz val="10"/>
        <color rgb="FF808080"/>
        <rFont val="Cambria"/>
        <family val="1"/>
        <charset val="1"/>
      </rPr>
      <t xml:space="preserve">20261013_103000_</t>
    </r>
    <r>
      <rPr>
        <i val="true"/>
        <sz val="10"/>
        <color rgb="FF808080"/>
        <rFont val="Noto Sans CJK SC"/>
        <family val="2"/>
      </rPr>
      <t xml:space="preserve">화면</t>
    </r>
    <r>
      <rPr>
        <i val="true"/>
        <sz val="10"/>
        <color rgb="FF808080"/>
        <rFont val="Cambria"/>
        <family val="1"/>
        <charset val="1"/>
      </rPr>
      <t xml:space="preserve">.png
20261013_103010_</t>
    </r>
    <r>
      <rPr>
        <i val="true"/>
        <sz val="10"/>
        <color rgb="FF808080"/>
        <rFont val="Noto Sans CJK SC"/>
        <family val="2"/>
      </rPr>
      <t xml:space="preserve">기록</t>
    </r>
    <r>
      <rPr>
        <i val="true"/>
        <sz val="10"/>
        <color rgb="FF808080"/>
        <rFont val="Cambria"/>
        <family val="1"/>
        <charset val="1"/>
      </rPr>
      <t xml:space="preserve">.txt</t>
    </r>
  </si>
  <si>
    <t xml:space="preserve">수정 완료</t>
  </si>
  <si>
    <t xml:space="preserve">abc1234</t>
  </si>
  <si>
    <t xml:space="preserve">BUG-01</t>
  </si>
  <si>
    <t xml:space="preserve">BUG-02</t>
  </si>
  <si>
    <t xml:space="preserve">BUG-03</t>
  </si>
  <si>
    <t xml:space="preserve">BUG-04</t>
  </si>
  <si>
    <t xml:space="preserve">BUG-05</t>
  </si>
  <si>
    <t xml:space="preserve">BUG-06</t>
  </si>
  <si>
    <t xml:space="preserve">BUG-07</t>
  </si>
  <si>
    <t xml:space="preserve">BUG-08</t>
  </si>
  <si>
    <t xml:space="preserve">BUG-09</t>
  </si>
  <si>
    <t xml:space="preserve">BUG-10</t>
  </si>
  <si>
    <t xml:space="preserve">BUG-11</t>
  </si>
  <si>
    <t xml:space="preserve">BUG-12</t>
  </si>
  <si>
    <t xml:space="preserve">BUG-13</t>
  </si>
  <si>
    <t xml:space="preserve">BUG-14</t>
  </si>
  <si>
    <t xml:space="preserve">BUG-15</t>
  </si>
  <si>
    <t xml:space="preserve">BUG-16</t>
  </si>
  <si>
    <t xml:space="preserve">BUG-17</t>
  </si>
  <si>
    <t xml:space="preserve">BUG-18</t>
  </si>
  <si>
    <t xml:space="preserve">BUG-19</t>
  </si>
  <si>
    <t xml:space="preserve">BUG-20</t>
  </si>
  <si>
    <t xml:space="preserve">BUG-21</t>
  </si>
  <si>
    <t xml:space="preserve">BUG-22</t>
  </si>
  <si>
    <t xml:space="preserve">BUG-23</t>
  </si>
  <si>
    <t xml:space="preserve">BUG-24</t>
  </si>
  <si>
    <t xml:space="preserve">BUG-25</t>
  </si>
  <si>
    <t xml:space="preserve">BUG-26</t>
  </si>
  <si>
    <t xml:space="preserve">BUG-27</t>
  </si>
  <si>
    <t xml:space="preserve">BUG-28</t>
  </si>
  <si>
    <t xml:space="preserve">BUG-29</t>
  </si>
  <si>
    <t xml:space="preserve">BUG-30</t>
  </si>
  <si>
    <t xml:space="preserve">BUG-31</t>
  </si>
  <si>
    <t xml:space="preserve">BUG-32</t>
  </si>
  <si>
    <t xml:space="preserve">BUG-33</t>
  </si>
  <si>
    <t xml:space="preserve">BUG-34</t>
  </si>
  <si>
    <t xml:space="preserve">BUG-35</t>
  </si>
  <si>
    <t xml:space="preserve">BUG-36</t>
  </si>
  <si>
    <t xml:space="preserve">BUG-37</t>
  </si>
  <si>
    <t xml:space="preserve">BUG-38</t>
  </si>
  <si>
    <t xml:space="preserve">BUG-39</t>
  </si>
  <si>
    <t xml:space="preserve">BUG-40</t>
  </si>
  <si>
    <t xml:space="preserve">회귀 테스트 (리팩토링 후 동작이 똑같이 유지되는지)</t>
  </si>
  <si>
    <t xml:space="preserve">후 통과</t>
  </si>
  <si>
    <t xml:space="preserve">리팩토링 커밋</t>
  </si>
  <si>
    <t xml:space="preserve">리팩토링 전 결과 (QA)</t>
  </si>
  <si>
    <t xml:space="preserve">리팩토링 후 결과</t>
  </si>
  <si>
    <t xml:space="preserve">달라진 점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</si>
</sst>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  <charset val="1"/>
    </font>
    <font>
      <sz val="10"/>
      <name val="Cambria"/>
      <family val="1"/>
      <charset val="1"/>
    </font>
    <font>
      <b val="true"/>
      <sz val="11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3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0"/>
      <color rgb="FFFFFFFF"/>
      <name val="Cambria"/>
      <family val="1"/>
      <charset val="1"/>
    </font>
    <font>
      <b val="true"/>
      <sz val="10"/>
      <color rgb="FFFFFFFF"/>
      <name val="Noto Sans CJK SC"/>
      <family val="2"/>
      <charset val="1"/>
    </font>
    <font>
      <sz val="10"/>
      <name val="Noto Sans CJK SC"/>
      <family val="2"/>
    </font>
    <font>
      <i val="true"/>
      <sz val="10"/>
      <color rgb="FF808080"/>
      <name val="Cambria"/>
      <family val="1"/>
      <charset val="1"/>
    </font>
    <font>
      <i val="true"/>
      <sz val="10"/>
      <color rgb="FF808080"/>
      <name val="Noto Sans CJK SC"/>
      <family val="2"/>
    </font>
    <font>
      <i val="true"/>
      <sz val="10"/>
      <color rgb="FF808080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>
          <bgColor rgb="FFFF9999"/>
        </patternFill>
      </fill>
    </dxf>
    <dxf>
      <font>
        <b val="1"/>
      </font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99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0"/>
  </cols>
  <sheetData>
    <row r="1" customFormat="false" ht="21" hidden="false" customHeight="true" outlineLevel="0" collapsed="false">
      <c r="A1" s="1" t="s">
        <v>0</v>
      </c>
    </row>
    <row r="2" customFormat="false" ht="15" hidden="false" customHeight="true" outlineLevel="0" collapsed="false">
      <c r="A2" s="2"/>
    </row>
    <row r="3" customFormat="false" ht="16.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2"/>
    </row>
    <row r="8" customFormat="false" ht="16.5" hidden="false" customHeight="true" outlineLevel="0" collapsed="false">
      <c r="A8" s="3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4" t="s">
        <v>11</v>
      </c>
    </row>
    <row r="15" customFormat="false" ht="15" hidden="false" customHeight="true" outlineLevel="0" collapsed="false">
      <c r="A15" s="2"/>
    </row>
    <row r="16" customFormat="false" ht="16.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4" t="s">
        <v>14</v>
      </c>
    </row>
    <row r="19" customFormat="false" ht="15" hidden="false" customHeight="true" outlineLevel="0" collapsed="false">
      <c r="A19" s="4" t="s">
        <v>15</v>
      </c>
    </row>
    <row r="20" customFormat="false" ht="15" hidden="false" customHeight="true" outlineLevel="0" collapsed="false">
      <c r="A20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H13" activeCellId="0" sqref="H1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44"/>
    <col collapsed="false" customWidth="true" hidden="false" outlineLevel="0" max="7" min="7" style="0" width="9"/>
    <col collapsed="false" customWidth="true" hidden="false" outlineLevel="0" max="8" min="8" style="0" width="30"/>
    <col collapsed="false" customWidth="true" hidden="false" outlineLevel="0" max="10" min="9" style="0" width="9"/>
    <col collapsed="false" customWidth="true" hidden="false" outlineLevel="0" max="11" min="11" style="0" width="11"/>
    <col collapsed="false" customWidth="true" hidden="false" outlineLevel="0" max="12" min="12" style="0" width="24"/>
  </cols>
  <sheetData>
    <row r="1" customFormat="false" ht="19.5" hidden="false" customHeight="true" outlineLevel="0" collapsed="false">
      <c r="A1" s="5" t="s">
        <v>17</v>
      </c>
      <c r="J1" s="6" t="s">
        <v>18</v>
      </c>
      <c r="K1" s="0" t="n">
        <f aca="false">COUNTIF(G5:G38,"통과")</f>
        <v>30</v>
      </c>
      <c r="L1" s="6" t="s">
        <v>19</v>
      </c>
    </row>
    <row r="2" customFormat="false" ht="16.5" hidden="false" customHeight="true" outlineLevel="0" collapsed="false">
      <c r="A2" s="6" t="s">
        <v>20</v>
      </c>
      <c r="B2" s="7" t="s">
        <v>21</v>
      </c>
      <c r="C2" s="7"/>
      <c r="D2" s="7"/>
      <c r="E2" s="7"/>
      <c r="F2" s="7"/>
      <c r="G2" s="7"/>
      <c r="H2" s="7"/>
      <c r="J2" s="6" t="s">
        <v>22</v>
      </c>
      <c r="K2" s="0" t="n">
        <f aca="false">COUNTIF(G5:G38,"실패")</f>
        <v>0</v>
      </c>
      <c r="L2" s="0" t="str">
        <f aca="false">COUNTIF(G5:G38,"미실행")&amp;" / "&amp;COUNTA(A5:A38)</f>
        <v>0 / 34</v>
      </c>
    </row>
    <row r="4" customFormat="false" ht="30" hidden="false" customHeight="true" outlineLevel="0" collapsed="false">
      <c r="A4" s="8" t="s">
        <v>23</v>
      </c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 t="s">
        <v>32</v>
      </c>
      <c r="K4" s="9" t="s">
        <v>33</v>
      </c>
      <c r="L4" s="9" t="s">
        <v>34</v>
      </c>
    </row>
    <row r="5" customFormat="false" ht="61.5" hidden="false" customHeight="true" outlineLevel="0" collapsed="false">
      <c r="A5" s="10" t="s">
        <v>35</v>
      </c>
      <c r="B5" s="10" t="s">
        <v>36</v>
      </c>
      <c r="C5" s="11" t="s">
        <v>37</v>
      </c>
      <c r="D5" s="12" t="s">
        <v>38</v>
      </c>
      <c r="E5" s="13" t="s">
        <v>39</v>
      </c>
      <c r="F5" s="13" t="s">
        <v>40</v>
      </c>
      <c r="G5" s="11" t="s">
        <v>18</v>
      </c>
      <c r="H5" s="13"/>
      <c r="I5" s="10"/>
      <c r="J5" s="10"/>
      <c r="K5" s="10"/>
      <c r="L5" s="13"/>
    </row>
    <row r="6" customFormat="false" ht="45" hidden="false" customHeight="true" outlineLevel="0" collapsed="false">
      <c r="A6" s="10" t="s">
        <v>41</v>
      </c>
      <c r="B6" s="10" t="s">
        <v>42</v>
      </c>
      <c r="C6" s="11" t="s">
        <v>37</v>
      </c>
      <c r="D6" s="12" t="s">
        <v>43</v>
      </c>
      <c r="E6" s="13" t="s">
        <v>44</v>
      </c>
      <c r="F6" s="12" t="s">
        <v>45</v>
      </c>
      <c r="G6" s="11" t="s">
        <v>18</v>
      </c>
      <c r="H6" s="14" t="s">
        <v>46</v>
      </c>
      <c r="I6" s="10"/>
      <c r="J6" s="15" t="s">
        <v>47</v>
      </c>
      <c r="K6" s="10" t="s">
        <v>48</v>
      </c>
      <c r="L6" s="13" t="s">
        <v>49</v>
      </c>
    </row>
    <row r="7" customFormat="false" ht="45" hidden="false" customHeight="true" outlineLevel="0" collapsed="false">
      <c r="A7" s="10" t="s">
        <v>50</v>
      </c>
      <c r="B7" s="10" t="s">
        <v>51</v>
      </c>
      <c r="C7" s="11" t="s">
        <v>37</v>
      </c>
      <c r="D7" s="12" t="s">
        <v>52</v>
      </c>
      <c r="E7" s="13" t="s">
        <v>53</v>
      </c>
      <c r="F7" s="13" t="s">
        <v>54</v>
      </c>
      <c r="G7" s="11" t="s">
        <v>18</v>
      </c>
      <c r="H7" s="13"/>
      <c r="I7" s="10"/>
      <c r="J7" s="10"/>
      <c r="K7" s="10"/>
      <c r="L7" s="13"/>
    </row>
    <row r="8" customFormat="false" ht="45.75" hidden="false" customHeight="true" outlineLevel="0" collapsed="false">
      <c r="A8" s="10" t="s">
        <v>55</v>
      </c>
      <c r="B8" s="10" t="s">
        <v>56</v>
      </c>
      <c r="C8" s="11" t="s">
        <v>57</v>
      </c>
      <c r="D8" s="12" t="s">
        <v>58</v>
      </c>
      <c r="E8" s="13" t="s">
        <v>59</v>
      </c>
      <c r="F8" s="13" t="s">
        <v>60</v>
      </c>
      <c r="G8" s="11" t="s">
        <v>18</v>
      </c>
      <c r="H8" s="13" t="s">
        <v>61</v>
      </c>
      <c r="I8" s="10"/>
      <c r="J8" s="11" t="s">
        <v>62</v>
      </c>
      <c r="K8" s="10" t="s">
        <v>48</v>
      </c>
      <c r="L8" s="13" t="s">
        <v>49</v>
      </c>
    </row>
    <row r="9" customFormat="false" ht="45" hidden="false" customHeight="true" outlineLevel="0" collapsed="false">
      <c r="A9" s="10" t="s">
        <v>63</v>
      </c>
      <c r="B9" s="10" t="s">
        <v>64</v>
      </c>
      <c r="C9" s="11" t="s">
        <v>57</v>
      </c>
      <c r="D9" s="12" t="s">
        <v>65</v>
      </c>
      <c r="E9" s="13" t="s">
        <v>66</v>
      </c>
      <c r="F9" s="13" t="s">
        <v>67</v>
      </c>
      <c r="G9" s="11" t="s">
        <v>18</v>
      </c>
      <c r="H9" s="12" t="s">
        <v>68</v>
      </c>
      <c r="I9" s="10"/>
      <c r="J9" s="11" t="s">
        <v>62</v>
      </c>
      <c r="K9" s="10" t="s">
        <v>48</v>
      </c>
      <c r="L9" s="13" t="s">
        <v>49</v>
      </c>
    </row>
    <row r="10" customFormat="false" ht="45" hidden="false" customHeight="true" outlineLevel="0" collapsed="false">
      <c r="A10" s="10" t="s">
        <v>69</v>
      </c>
      <c r="B10" s="10" t="s">
        <v>64</v>
      </c>
      <c r="C10" s="11" t="s">
        <v>57</v>
      </c>
      <c r="D10" s="12" t="s">
        <v>70</v>
      </c>
      <c r="E10" s="13" t="s">
        <v>71</v>
      </c>
      <c r="F10" s="12" t="s">
        <v>72</v>
      </c>
      <c r="G10" s="11" t="s">
        <v>18</v>
      </c>
      <c r="H10" s="12" t="s">
        <v>73</v>
      </c>
      <c r="I10" s="10"/>
      <c r="J10" s="11" t="s">
        <v>62</v>
      </c>
      <c r="K10" s="10" t="s">
        <v>48</v>
      </c>
      <c r="L10" s="13" t="s">
        <v>49</v>
      </c>
    </row>
    <row r="11" customFormat="false" ht="45" hidden="false" customHeight="true" outlineLevel="0" collapsed="false">
      <c r="A11" s="10" t="s">
        <v>74</v>
      </c>
      <c r="B11" s="10" t="s">
        <v>75</v>
      </c>
      <c r="C11" s="11" t="s">
        <v>57</v>
      </c>
      <c r="D11" s="12" t="s">
        <v>76</v>
      </c>
      <c r="E11" s="13" t="s">
        <v>77</v>
      </c>
      <c r="F11" s="13" t="s">
        <v>78</v>
      </c>
      <c r="G11" s="11" t="s">
        <v>18</v>
      </c>
      <c r="H11" s="12" t="s">
        <v>79</v>
      </c>
      <c r="I11" s="10"/>
      <c r="J11" s="11" t="s">
        <v>62</v>
      </c>
      <c r="K11" s="10" t="s">
        <v>48</v>
      </c>
      <c r="L11" s="13" t="s">
        <v>49</v>
      </c>
    </row>
    <row r="12" customFormat="false" ht="45.75" hidden="false" customHeight="true" outlineLevel="0" collapsed="false">
      <c r="A12" s="10" t="s">
        <v>80</v>
      </c>
      <c r="B12" s="10" t="s">
        <v>81</v>
      </c>
      <c r="C12" s="11" t="s">
        <v>37</v>
      </c>
      <c r="D12" s="12" t="s">
        <v>82</v>
      </c>
      <c r="E12" s="13" t="s">
        <v>83</v>
      </c>
      <c r="F12" s="13" t="s">
        <v>84</v>
      </c>
      <c r="G12" s="11" t="s">
        <v>18</v>
      </c>
      <c r="H12" s="14" t="s">
        <v>85</v>
      </c>
      <c r="I12" s="10"/>
      <c r="J12" s="15" t="s">
        <v>47</v>
      </c>
      <c r="K12" s="10" t="s">
        <v>48</v>
      </c>
      <c r="L12" s="13" t="s">
        <v>49</v>
      </c>
    </row>
    <row r="13" customFormat="false" ht="61.5" hidden="false" customHeight="true" outlineLevel="0" collapsed="false">
      <c r="A13" s="10" t="s">
        <v>86</v>
      </c>
      <c r="B13" s="10" t="s">
        <v>87</v>
      </c>
      <c r="C13" s="11" t="s">
        <v>57</v>
      </c>
      <c r="D13" s="12" t="s">
        <v>88</v>
      </c>
      <c r="E13" s="13" t="s">
        <v>89</v>
      </c>
      <c r="F13" s="12" t="s">
        <v>90</v>
      </c>
      <c r="G13" s="11" t="s">
        <v>18</v>
      </c>
      <c r="H13" s="12" t="s">
        <v>91</v>
      </c>
      <c r="I13" s="10"/>
      <c r="J13" s="11" t="s">
        <v>62</v>
      </c>
      <c r="K13" s="10" t="s">
        <v>48</v>
      </c>
      <c r="L13" s="13" t="s">
        <v>49</v>
      </c>
    </row>
    <row r="14" customFormat="false" ht="45.75" hidden="false" customHeight="true" outlineLevel="0" collapsed="false">
      <c r="A14" s="10" t="s">
        <v>92</v>
      </c>
      <c r="B14" s="10" t="s">
        <v>93</v>
      </c>
      <c r="C14" s="11" t="s">
        <v>57</v>
      </c>
      <c r="D14" s="12" t="s">
        <v>94</v>
      </c>
      <c r="E14" s="13" t="s">
        <v>95</v>
      </c>
      <c r="F14" s="12" t="s">
        <v>96</v>
      </c>
      <c r="G14" s="11" t="s">
        <v>18</v>
      </c>
      <c r="H14" s="12" t="s">
        <v>97</v>
      </c>
      <c r="I14" s="10"/>
      <c r="J14" s="11" t="s">
        <v>62</v>
      </c>
      <c r="K14" s="10" t="s">
        <v>48</v>
      </c>
      <c r="L14" s="13" t="s">
        <v>49</v>
      </c>
    </row>
    <row r="15" customFormat="false" ht="45.75" hidden="false" customHeight="true" outlineLevel="0" collapsed="false">
      <c r="A15" s="10" t="s">
        <v>98</v>
      </c>
      <c r="B15" s="10" t="s">
        <v>93</v>
      </c>
      <c r="C15" s="11" t="s">
        <v>57</v>
      </c>
      <c r="D15" s="12" t="s">
        <v>99</v>
      </c>
      <c r="E15" s="13" t="s">
        <v>100</v>
      </c>
      <c r="F15" s="12" t="s">
        <v>101</v>
      </c>
      <c r="G15" s="11" t="s">
        <v>18</v>
      </c>
      <c r="H15" s="12" t="s">
        <v>102</v>
      </c>
      <c r="I15" s="10"/>
      <c r="J15" s="11" t="s">
        <v>62</v>
      </c>
      <c r="K15" s="10" t="s">
        <v>48</v>
      </c>
      <c r="L15" s="13" t="s">
        <v>49</v>
      </c>
    </row>
    <row r="16" customFormat="false" ht="61.5" hidden="false" customHeight="true" outlineLevel="0" collapsed="false">
      <c r="A16" s="10" t="s">
        <v>103</v>
      </c>
      <c r="B16" s="10" t="s">
        <v>93</v>
      </c>
      <c r="C16" s="11" t="s">
        <v>57</v>
      </c>
      <c r="D16" s="12" t="s">
        <v>104</v>
      </c>
      <c r="E16" s="13" t="s">
        <v>105</v>
      </c>
      <c r="F16" s="13" t="s">
        <v>106</v>
      </c>
      <c r="G16" s="11" t="s">
        <v>18</v>
      </c>
      <c r="H16" s="14" t="s">
        <v>107</v>
      </c>
      <c r="I16" s="10"/>
      <c r="J16" s="15" t="s">
        <v>47</v>
      </c>
      <c r="K16" s="10" t="s">
        <v>48</v>
      </c>
      <c r="L16" s="13" t="s">
        <v>49</v>
      </c>
    </row>
    <row r="17" customFormat="false" ht="45.75" hidden="false" customHeight="true" outlineLevel="0" collapsed="false">
      <c r="A17" s="10" t="s">
        <v>108</v>
      </c>
      <c r="B17" s="10" t="s">
        <v>109</v>
      </c>
      <c r="C17" s="11" t="s">
        <v>57</v>
      </c>
      <c r="D17" s="12" t="s">
        <v>110</v>
      </c>
      <c r="E17" s="13" t="s">
        <v>111</v>
      </c>
      <c r="F17" s="12" t="s">
        <v>112</v>
      </c>
      <c r="G17" s="11" t="s">
        <v>18</v>
      </c>
      <c r="H17" s="13" t="s">
        <v>113</v>
      </c>
      <c r="I17" s="10"/>
      <c r="J17" s="11" t="s">
        <v>62</v>
      </c>
      <c r="K17" s="10" t="s">
        <v>48</v>
      </c>
      <c r="L17" s="13" t="s">
        <v>49</v>
      </c>
    </row>
    <row r="18" customFormat="false" ht="45" hidden="false" customHeight="true" outlineLevel="0" collapsed="false">
      <c r="A18" s="10" t="s">
        <v>114</v>
      </c>
      <c r="B18" s="10" t="s">
        <v>115</v>
      </c>
      <c r="C18" s="11" t="s">
        <v>57</v>
      </c>
      <c r="D18" s="12" t="s">
        <v>116</v>
      </c>
      <c r="E18" s="13" t="s">
        <v>117</v>
      </c>
      <c r="F18" s="13" t="s">
        <v>118</v>
      </c>
      <c r="G18" s="11" t="s">
        <v>18</v>
      </c>
      <c r="H18" s="12" t="s">
        <v>119</v>
      </c>
      <c r="I18" s="10"/>
      <c r="J18" s="11" t="s">
        <v>62</v>
      </c>
      <c r="K18" s="10" t="s">
        <v>48</v>
      </c>
      <c r="L18" s="13" t="s">
        <v>49</v>
      </c>
    </row>
    <row r="19" customFormat="false" ht="61.5" hidden="false" customHeight="true" outlineLevel="0" collapsed="false">
      <c r="A19" s="10" t="s">
        <v>120</v>
      </c>
      <c r="B19" s="10" t="s">
        <v>121</v>
      </c>
      <c r="C19" s="11" t="s">
        <v>122</v>
      </c>
      <c r="D19" s="12" t="s">
        <v>123</v>
      </c>
      <c r="E19" s="13" t="s">
        <v>124</v>
      </c>
      <c r="F19" s="12" t="s">
        <v>125</v>
      </c>
      <c r="G19" s="11" t="s">
        <v>18</v>
      </c>
      <c r="H19" s="12" t="s">
        <v>126</v>
      </c>
      <c r="I19" s="10"/>
      <c r="J19" s="11" t="s">
        <v>62</v>
      </c>
      <c r="K19" s="10" t="s">
        <v>48</v>
      </c>
      <c r="L19" s="13" t="s">
        <v>49</v>
      </c>
    </row>
    <row r="20" customFormat="false" ht="45" hidden="false" customHeight="true" outlineLevel="0" collapsed="false">
      <c r="A20" s="10" t="s">
        <v>127</v>
      </c>
      <c r="B20" s="10" t="s">
        <v>128</v>
      </c>
      <c r="C20" s="11" t="s">
        <v>37</v>
      </c>
      <c r="D20" s="12" t="s">
        <v>129</v>
      </c>
      <c r="E20" s="13" t="s">
        <v>130</v>
      </c>
      <c r="F20" s="13" t="s">
        <v>131</v>
      </c>
      <c r="G20" s="11" t="s">
        <v>18</v>
      </c>
      <c r="H20" s="12" t="s">
        <v>132</v>
      </c>
      <c r="I20" s="10"/>
      <c r="J20" s="11" t="s">
        <v>62</v>
      </c>
      <c r="K20" s="10" t="s">
        <v>48</v>
      </c>
      <c r="L20" s="13" t="s">
        <v>49</v>
      </c>
    </row>
    <row r="21" customFormat="false" ht="45" hidden="false" customHeight="true" outlineLevel="0" collapsed="false">
      <c r="A21" s="10" t="s">
        <v>133</v>
      </c>
      <c r="B21" s="10" t="s">
        <v>134</v>
      </c>
      <c r="C21" s="11" t="s">
        <v>37</v>
      </c>
      <c r="D21" s="12" t="s">
        <v>135</v>
      </c>
      <c r="E21" s="13" t="s">
        <v>136</v>
      </c>
      <c r="F21" s="13" t="s">
        <v>131</v>
      </c>
      <c r="G21" s="11" t="s">
        <v>18</v>
      </c>
      <c r="H21" s="12" t="s">
        <v>132</v>
      </c>
      <c r="I21" s="10"/>
      <c r="J21" s="11" t="s">
        <v>62</v>
      </c>
      <c r="K21" s="10" t="s">
        <v>48</v>
      </c>
      <c r="L21" s="13" t="s">
        <v>49</v>
      </c>
    </row>
    <row r="22" customFormat="false" ht="45" hidden="false" customHeight="true" outlineLevel="0" collapsed="false">
      <c r="A22" s="10" t="s">
        <v>137</v>
      </c>
      <c r="B22" s="10" t="s">
        <v>138</v>
      </c>
      <c r="C22" s="11" t="s">
        <v>37</v>
      </c>
      <c r="D22" s="12" t="s">
        <v>139</v>
      </c>
      <c r="E22" s="13" t="s">
        <v>140</v>
      </c>
      <c r="F22" s="13" t="s">
        <v>131</v>
      </c>
      <c r="G22" s="11" t="s">
        <v>18</v>
      </c>
      <c r="H22" s="12" t="s">
        <v>141</v>
      </c>
      <c r="I22" s="10"/>
      <c r="J22" s="11" t="s">
        <v>62</v>
      </c>
      <c r="K22" s="10" t="s">
        <v>48</v>
      </c>
      <c r="L22" s="13" t="s">
        <v>49</v>
      </c>
    </row>
    <row r="23" customFormat="false" ht="45" hidden="false" customHeight="true" outlineLevel="0" collapsed="false">
      <c r="A23" s="10" t="s">
        <v>142</v>
      </c>
      <c r="B23" s="10" t="s">
        <v>143</v>
      </c>
      <c r="C23" s="11" t="s">
        <v>37</v>
      </c>
      <c r="D23" s="12" t="s">
        <v>144</v>
      </c>
      <c r="E23" s="13" t="s">
        <v>145</v>
      </c>
      <c r="F23" s="13" t="s">
        <v>131</v>
      </c>
      <c r="G23" s="11" t="s">
        <v>18</v>
      </c>
      <c r="H23" s="12" t="s">
        <v>146</v>
      </c>
      <c r="I23" s="10"/>
      <c r="J23" s="11" t="s">
        <v>62</v>
      </c>
      <c r="K23" s="10" t="s">
        <v>48</v>
      </c>
      <c r="L23" s="13" t="s">
        <v>49</v>
      </c>
    </row>
    <row r="24" customFormat="false" ht="45" hidden="false" customHeight="true" outlineLevel="0" collapsed="false">
      <c r="A24" s="10" t="s">
        <v>147</v>
      </c>
      <c r="B24" s="10" t="s">
        <v>148</v>
      </c>
      <c r="C24" s="11" t="s">
        <v>37</v>
      </c>
      <c r="D24" s="12" t="s">
        <v>149</v>
      </c>
      <c r="E24" s="13" t="s">
        <v>150</v>
      </c>
      <c r="F24" s="13" t="s">
        <v>131</v>
      </c>
      <c r="G24" s="11" t="s">
        <v>18</v>
      </c>
      <c r="H24" s="12" t="s">
        <v>151</v>
      </c>
      <c r="I24" s="10"/>
      <c r="J24" s="11" t="s">
        <v>62</v>
      </c>
      <c r="K24" s="10" t="s">
        <v>48</v>
      </c>
      <c r="L24" s="13" t="s">
        <v>49</v>
      </c>
    </row>
    <row r="25" customFormat="false" ht="45" hidden="false" customHeight="true" outlineLevel="0" collapsed="false">
      <c r="A25" s="10" t="s">
        <v>152</v>
      </c>
      <c r="B25" s="10" t="s">
        <v>153</v>
      </c>
      <c r="C25" s="11" t="s">
        <v>37</v>
      </c>
      <c r="D25" s="12" t="s">
        <v>154</v>
      </c>
      <c r="E25" s="13" t="s">
        <v>155</v>
      </c>
      <c r="F25" s="13" t="s">
        <v>131</v>
      </c>
      <c r="G25" s="11" t="s">
        <v>18</v>
      </c>
      <c r="H25" s="12" t="s">
        <v>132</v>
      </c>
      <c r="I25" s="10"/>
      <c r="J25" s="11" t="s">
        <v>62</v>
      </c>
      <c r="K25" s="10" t="s">
        <v>48</v>
      </c>
      <c r="L25" s="13" t="s">
        <v>49</v>
      </c>
    </row>
    <row r="26" customFormat="false" ht="45" hidden="false" customHeight="true" outlineLevel="0" collapsed="false">
      <c r="A26" s="10" t="s">
        <v>156</v>
      </c>
      <c r="B26" s="10" t="s">
        <v>157</v>
      </c>
      <c r="C26" s="11" t="s">
        <v>37</v>
      </c>
      <c r="D26" s="12" t="s">
        <v>158</v>
      </c>
      <c r="E26" s="13" t="s">
        <v>159</v>
      </c>
      <c r="F26" s="13" t="s">
        <v>131</v>
      </c>
      <c r="G26" s="11" t="s">
        <v>18</v>
      </c>
      <c r="H26" s="12" t="s">
        <v>132</v>
      </c>
      <c r="I26" s="10"/>
      <c r="J26" s="11" t="s">
        <v>62</v>
      </c>
      <c r="K26" s="10" t="s">
        <v>48</v>
      </c>
      <c r="L26" s="13" t="s">
        <v>49</v>
      </c>
    </row>
    <row r="27" customFormat="false" ht="45.75" hidden="false" customHeight="true" outlineLevel="0" collapsed="false">
      <c r="A27" s="10" t="s">
        <v>160</v>
      </c>
      <c r="B27" s="10" t="s">
        <v>161</v>
      </c>
      <c r="C27" s="11" t="s">
        <v>57</v>
      </c>
      <c r="D27" s="12" t="s">
        <v>162</v>
      </c>
      <c r="E27" s="13" t="s">
        <v>163</v>
      </c>
      <c r="F27" s="12" t="s">
        <v>164</v>
      </c>
      <c r="G27" s="11" t="s">
        <v>18</v>
      </c>
      <c r="H27" s="13" t="s">
        <v>165</v>
      </c>
      <c r="I27" s="10"/>
      <c r="J27" s="11" t="s">
        <v>62</v>
      </c>
      <c r="K27" s="10" t="s">
        <v>48</v>
      </c>
      <c r="L27" s="13" t="s">
        <v>49</v>
      </c>
    </row>
    <row r="28" customFormat="false" ht="45.75" hidden="false" customHeight="true" outlineLevel="0" collapsed="false">
      <c r="A28" s="10" t="s">
        <v>166</v>
      </c>
      <c r="B28" s="10" t="s">
        <v>167</v>
      </c>
      <c r="C28" s="11" t="s">
        <v>37</v>
      </c>
      <c r="D28" s="12" t="s">
        <v>168</v>
      </c>
      <c r="E28" s="13" t="s">
        <v>169</v>
      </c>
      <c r="F28" s="12" t="s">
        <v>170</v>
      </c>
      <c r="G28" s="11" t="s">
        <v>18</v>
      </c>
      <c r="H28" s="13" t="s">
        <v>171</v>
      </c>
      <c r="I28" s="10"/>
      <c r="J28" s="11" t="s">
        <v>62</v>
      </c>
      <c r="K28" s="10" t="s">
        <v>48</v>
      </c>
      <c r="L28" s="13" t="s">
        <v>49</v>
      </c>
    </row>
    <row r="29" customFormat="false" ht="45" hidden="false" customHeight="true" outlineLevel="0" collapsed="false">
      <c r="A29" s="10" t="s">
        <v>172</v>
      </c>
      <c r="B29" s="10" t="s">
        <v>173</v>
      </c>
      <c r="C29" s="11" t="s">
        <v>37</v>
      </c>
      <c r="D29" s="12" t="s">
        <v>174</v>
      </c>
      <c r="E29" s="13" t="s">
        <v>175</v>
      </c>
      <c r="F29" s="13" t="s">
        <v>176</v>
      </c>
      <c r="G29" s="11" t="s">
        <v>18</v>
      </c>
      <c r="H29" s="13" t="s">
        <v>177</v>
      </c>
      <c r="I29" s="10"/>
      <c r="J29" s="15" t="s">
        <v>47</v>
      </c>
      <c r="K29" s="10" t="s">
        <v>48</v>
      </c>
      <c r="L29" s="13" t="s">
        <v>49</v>
      </c>
    </row>
    <row r="30" customFormat="false" ht="45.75" hidden="false" customHeight="true" outlineLevel="0" collapsed="false">
      <c r="A30" s="10" t="s">
        <v>178</v>
      </c>
      <c r="B30" s="10" t="s">
        <v>75</v>
      </c>
      <c r="C30" s="11" t="s">
        <v>57</v>
      </c>
      <c r="D30" s="12" t="s">
        <v>179</v>
      </c>
      <c r="E30" s="13" t="s">
        <v>180</v>
      </c>
      <c r="F30" s="12" t="s">
        <v>181</v>
      </c>
      <c r="G30" s="11" t="s">
        <v>18</v>
      </c>
      <c r="H30" s="12" t="s">
        <v>182</v>
      </c>
      <c r="I30" s="10"/>
      <c r="J30" s="11" t="s">
        <v>62</v>
      </c>
      <c r="K30" s="10" t="s">
        <v>48</v>
      </c>
      <c r="L30" s="13" t="s">
        <v>49</v>
      </c>
    </row>
    <row r="31" customFormat="false" ht="45" hidden="false" customHeight="true" outlineLevel="0" collapsed="false">
      <c r="A31" s="10" t="s">
        <v>183</v>
      </c>
      <c r="B31" s="10" t="s">
        <v>184</v>
      </c>
      <c r="C31" s="11" t="s">
        <v>57</v>
      </c>
      <c r="D31" s="13" t="s">
        <v>185</v>
      </c>
      <c r="E31" s="13" t="s">
        <v>186</v>
      </c>
      <c r="F31" s="13" t="s">
        <v>187</v>
      </c>
      <c r="G31" s="11" t="s">
        <v>188</v>
      </c>
      <c r="H31" s="14" t="s">
        <v>189</v>
      </c>
      <c r="I31" s="10"/>
      <c r="J31" s="10"/>
      <c r="K31" s="10"/>
      <c r="L31" s="13"/>
    </row>
    <row r="32" customFormat="false" ht="45" hidden="false" customHeight="true" outlineLevel="0" collapsed="false">
      <c r="A32" s="10" t="s">
        <v>190</v>
      </c>
      <c r="B32" s="10" t="s">
        <v>191</v>
      </c>
      <c r="C32" s="11" t="s">
        <v>57</v>
      </c>
      <c r="D32" s="12" t="s">
        <v>192</v>
      </c>
      <c r="E32" s="13" t="s">
        <v>193</v>
      </c>
      <c r="F32" s="13" t="s">
        <v>194</v>
      </c>
      <c r="G32" s="11" t="s">
        <v>18</v>
      </c>
      <c r="H32" s="13" t="s">
        <v>195</v>
      </c>
      <c r="I32" s="10"/>
      <c r="J32" s="11" t="s">
        <v>62</v>
      </c>
      <c r="K32" s="10" t="s">
        <v>48</v>
      </c>
      <c r="L32" s="13" t="s">
        <v>49</v>
      </c>
    </row>
    <row r="33" customFormat="false" ht="45" hidden="false" customHeight="true" outlineLevel="0" collapsed="false">
      <c r="A33" s="10" t="s">
        <v>196</v>
      </c>
      <c r="B33" s="10" t="s">
        <v>197</v>
      </c>
      <c r="C33" s="11" t="s">
        <v>37</v>
      </c>
      <c r="D33" s="12" t="s">
        <v>198</v>
      </c>
      <c r="E33" s="13" t="s">
        <v>199</v>
      </c>
      <c r="F33" s="12" t="s">
        <v>200</v>
      </c>
      <c r="G33" s="11" t="s">
        <v>18</v>
      </c>
      <c r="H33" s="14" t="s">
        <v>201</v>
      </c>
      <c r="I33" s="10"/>
      <c r="J33" s="15" t="s">
        <v>47</v>
      </c>
      <c r="K33" s="10" t="s">
        <v>48</v>
      </c>
      <c r="L33" s="13" t="s">
        <v>49</v>
      </c>
    </row>
    <row r="34" customFormat="false" ht="45" hidden="false" customHeight="true" outlineLevel="0" collapsed="false">
      <c r="A34" s="10" t="s">
        <v>202</v>
      </c>
      <c r="B34" s="10" t="s">
        <v>203</v>
      </c>
      <c r="C34" s="11" t="s">
        <v>57</v>
      </c>
      <c r="D34" s="12" t="s">
        <v>204</v>
      </c>
      <c r="E34" s="13" t="s">
        <v>205</v>
      </c>
      <c r="F34" s="12" t="s">
        <v>206</v>
      </c>
      <c r="G34" s="11" t="s">
        <v>188</v>
      </c>
      <c r="H34" s="14" t="s">
        <v>207</v>
      </c>
      <c r="I34" s="10"/>
      <c r="J34" s="10"/>
      <c r="K34" s="10"/>
      <c r="L34" s="13"/>
    </row>
    <row r="35" customFormat="false" ht="45" hidden="false" customHeight="true" outlineLevel="0" collapsed="false">
      <c r="A35" s="10" t="s">
        <v>208</v>
      </c>
      <c r="B35" s="10" t="s">
        <v>209</v>
      </c>
      <c r="C35" s="11" t="s">
        <v>57</v>
      </c>
      <c r="D35" s="12" t="s">
        <v>210</v>
      </c>
      <c r="E35" s="13" t="s">
        <v>211</v>
      </c>
      <c r="F35" s="12" t="s">
        <v>212</v>
      </c>
      <c r="G35" s="11" t="s">
        <v>188</v>
      </c>
      <c r="H35" s="14" t="s">
        <v>213</v>
      </c>
      <c r="I35" s="10"/>
      <c r="J35" s="10"/>
      <c r="K35" s="10"/>
      <c r="L35" s="13"/>
    </row>
    <row r="36" customFormat="false" ht="45" hidden="false" customHeight="true" outlineLevel="0" collapsed="false">
      <c r="A36" s="10" t="s">
        <v>214</v>
      </c>
      <c r="B36" s="10" t="s">
        <v>215</v>
      </c>
      <c r="C36" s="11" t="s">
        <v>37</v>
      </c>
      <c r="D36" s="12" t="s">
        <v>216</v>
      </c>
      <c r="E36" s="13" t="s">
        <v>217</v>
      </c>
      <c r="F36" s="12" t="s">
        <v>218</v>
      </c>
      <c r="G36" s="11" t="s">
        <v>18</v>
      </c>
      <c r="H36" s="13"/>
      <c r="I36" s="10"/>
      <c r="J36" s="10"/>
      <c r="K36" s="10"/>
      <c r="L36" s="13"/>
    </row>
    <row r="37" customFormat="false" ht="45" hidden="false" customHeight="true" outlineLevel="0" collapsed="false">
      <c r="A37" s="10" t="s">
        <v>219</v>
      </c>
      <c r="B37" s="10" t="s">
        <v>220</v>
      </c>
      <c r="C37" s="11" t="s">
        <v>57</v>
      </c>
      <c r="D37" s="13" t="s">
        <v>221</v>
      </c>
      <c r="E37" s="13" t="s">
        <v>222</v>
      </c>
      <c r="F37" s="12" t="s">
        <v>223</v>
      </c>
      <c r="G37" s="11" t="s">
        <v>188</v>
      </c>
      <c r="H37" s="13" t="s">
        <v>224</v>
      </c>
      <c r="I37" s="10"/>
      <c r="J37" s="10"/>
      <c r="K37" s="10"/>
      <c r="L37" s="13"/>
    </row>
    <row r="38" customFormat="false" ht="45" hidden="false" customHeight="true" outlineLevel="0" collapsed="false">
      <c r="A38" s="10" t="s">
        <v>225</v>
      </c>
      <c r="B38" s="10" t="s">
        <v>226</v>
      </c>
      <c r="C38" s="11" t="s">
        <v>37</v>
      </c>
      <c r="D38" s="13" t="s">
        <v>227</v>
      </c>
      <c r="E38" s="13" t="s">
        <v>228</v>
      </c>
      <c r="F38" s="12" t="s">
        <v>229</v>
      </c>
      <c r="G38" s="11" t="s">
        <v>18</v>
      </c>
      <c r="H38" s="13"/>
      <c r="I38" s="10"/>
      <c r="J38" s="10"/>
      <c r="K38" s="10"/>
      <c r="L38" s="13"/>
    </row>
  </sheetData>
  <autoFilter ref="A4:L38"/>
  <mergeCells count="1">
    <mergeCell ref="B2:H2"/>
  </mergeCells>
  <conditionalFormatting sqref="G5:G38">
    <cfRule type="cellIs" priority="2" operator="equal" aboveAverage="0" equalAverage="0" bottom="0" percent="0" rank="0" text="" dxfId="5">
      <formula>"통과"</formula>
    </cfRule>
    <cfRule type="cellIs" priority="3" operator="equal" aboveAverage="0" equalAverage="0" bottom="0" percent="0" rank="0" text="" dxfId="6">
      <formula>"실패"</formula>
    </cfRule>
    <cfRule type="cellIs" priority="4" operator="equal" aboveAverage="0" equalAverage="0" bottom="0" percent="0" rank="0" text="" dxfId="7">
      <formula>"보류"</formula>
    </cfRule>
  </conditionalFormatting>
  <dataValidations count="1">
    <dataValidation allowBlank="true" errorStyle="stop" operator="between" showDropDown="false" showErrorMessage="false" showInputMessage="false" sqref="G5:G38" type="list">
      <formula1>"통과,실패,보류,미실행"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6" min="6" style="0" width="40"/>
    <col collapsed="false" customWidth="true" hidden="false" outlineLevel="0" max="8" min="7" style="0" width="30"/>
    <col collapsed="false" customWidth="true" hidden="false" outlineLevel="0" max="9" min="9" style="0" width="26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5" min="13" style="0" width="12"/>
  </cols>
  <sheetData>
    <row r="1" customFormat="false" ht="15.75" hidden="false" customHeight="true" outlineLevel="0" collapsed="false">
      <c r="A1" s="5" t="s">
        <v>230</v>
      </c>
      <c r="E1" s="6" t="s">
        <v>231</v>
      </c>
      <c r="F1" s="0" t="n">
        <f aca="false">COUNTIFS(B5:B44,"&lt;&gt;",M5:M44,"&lt;&gt;재시험 통과",M5:M44,"&lt;&gt;보류",M5:M44,"&lt;&gt;재현 안 됨")</f>
        <v>0</v>
      </c>
    </row>
    <row r="3" customFormat="false" ht="30" hidden="false" customHeight="true" outlineLevel="0" collapsed="false">
      <c r="A3" s="9" t="s">
        <v>31</v>
      </c>
      <c r="B3" s="9" t="s">
        <v>232</v>
      </c>
      <c r="C3" s="9" t="s">
        <v>233</v>
      </c>
      <c r="D3" s="9" t="s">
        <v>234</v>
      </c>
      <c r="E3" s="9" t="s">
        <v>235</v>
      </c>
      <c r="F3" s="9" t="s">
        <v>236</v>
      </c>
      <c r="G3" s="9" t="s">
        <v>28</v>
      </c>
      <c r="H3" s="9" t="s">
        <v>237</v>
      </c>
      <c r="I3" s="9" t="s">
        <v>238</v>
      </c>
      <c r="J3" s="9" t="s">
        <v>239</v>
      </c>
      <c r="K3" s="9" t="s">
        <v>240</v>
      </c>
      <c r="L3" s="9" t="s">
        <v>25</v>
      </c>
      <c r="M3" s="9" t="s">
        <v>241</v>
      </c>
      <c r="N3" s="9" t="s">
        <v>242</v>
      </c>
      <c r="O3" s="9" t="s">
        <v>243</v>
      </c>
    </row>
    <row r="4" customFormat="false" ht="69.75" hidden="false" customHeight="true" outlineLevel="0" collapsed="false">
      <c r="A4" s="16" t="s">
        <v>244</v>
      </c>
      <c r="B4" s="16" t="s">
        <v>245</v>
      </c>
      <c r="C4" s="16" t="s">
        <v>92</v>
      </c>
      <c r="D4" s="17" t="s">
        <v>246</v>
      </c>
      <c r="E4" s="16" t="s">
        <v>247</v>
      </c>
      <c r="F4" s="16" t="s">
        <v>248</v>
      </c>
      <c r="G4" s="17" t="s">
        <v>249</v>
      </c>
      <c r="H4" s="17" t="s">
        <v>250</v>
      </c>
      <c r="I4" s="16" t="s">
        <v>251</v>
      </c>
      <c r="J4" s="17" t="s">
        <v>57</v>
      </c>
      <c r="K4" s="16" t="s">
        <v>48</v>
      </c>
      <c r="L4" s="17" t="s">
        <v>57</v>
      </c>
      <c r="M4" s="17" t="s">
        <v>252</v>
      </c>
      <c r="N4" s="16" t="s">
        <v>253</v>
      </c>
      <c r="O4" s="17" t="s">
        <v>18</v>
      </c>
    </row>
    <row r="5" customFormat="false" ht="60" hidden="false" customHeight="true" outlineLevel="0" collapsed="false">
      <c r="A5" s="10" t="s">
        <v>254</v>
      </c>
      <c r="B5" s="13"/>
      <c r="C5" s="10"/>
      <c r="D5" s="10"/>
      <c r="E5" s="13"/>
      <c r="F5" s="13"/>
      <c r="G5" s="13"/>
      <c r="H5" s="13"/>
      <c r="I5" s="13"/>
      <c r="J5" s="10"/>
      <c r="K5" s="10"/>
      <c r="L5" s="10"/>
      <c r="M5" s="10"/>
      <c r="N5" s="10"/>
      <c r="O5" s="10"/>
    </row>
    <row r="6" customFormat="false" ht="60" hidden="false" customHeight="true" outlineLevel="0" collapsed="false">
      <c r="A6" s="10" t="s">
        <v>255</v>
      </c>
      <c r="B6" s="13"/>
      <c r="C6" s="10"/>
      <c r="D6" s="10"/>
      <c r="E6" s="13"/>
      <c r="F6" s="13"/>
      <c r="G6" s="13"/>
      <c r="H6" s="13"/>
      <c r="I6" s="13"/>
      <c r="J6" s="10"/>
      <c r="K6" s="10"/>
      <c r="L6" s="10"/>
      <c r="M6" s="10"/>
      <c r="N6" s="10"/>
      <c r="O6" s="10"/>
    </row>
    <row r="7" customFormat="false" ht="60" hidden="false" customHeight="true" outlineLevel="0" collapsed="false">
      <c r="A7" s="10" t="s">
        <v>256</v>
      </c>
      <c r="B7" s="13"/>
      <c r="C7" s="10"/>
      <c r="D7" s="10"/>
      <c r="E7" s="13"/>
      <c r="F7" s="13"/>
      <c r="G7" s="13"/>
      <c r="H7" s="13"/>
      <c r="I7" s="13"/>
      <c r="J7" s="10"/>
      <c r="K7" s="10"/>
      <c r="L7" s="10"/>
      <c r="M7" s="10"/>
      <c r="N7" s="10"/>
      <c r="O7" s="10"/>
    </row>
    <row r="8" customFormat="false" ht="60" hidden="false" customHeight="true" outlineLevel="0" collapsed="false">
      <c r="A8" s="10" t="s">
        <v>257</v>
      </c>
      <c r="B8" s="13"/>
      <c r="C8" s="10"/>
      <c r="D8" s="10"/>
      <c r="E8" s="13"/>
      <c r="F8" s="13"/>
      <c r="G8" s="13"/>
      <c r="H8" s="13"/>
      <c r="I8" s="13"/>
      <c r="J8" s="10"/>
      <c r="K8" s="10"/>
      <c r="L8" s="10"/>
      <c r="M8" s="10"/>
      <c r="N8" s="10"/>
      <c r="O8" s="10"/>
    </row>
    <row r="9" customFormat="false" ht="60" hidden="false" customHeight="true" outlineLevel="0" collapsed="false">
      <c r="A9" s="10" t="s">
        <v>258</v>
      </c>
      <c r="B9" s="13"/>
      <c r="C9" s="10"/>
      <c r="D9" s="10"/>
      <c r="E9" s="13"/>
      <c r="F9" s="13"/>
      <c r="G9" s="13"/>
      <c r="H9" s="13"/>
      <c r="I9" s="13"/>
      <c r="J9" s="10"/>
      <c r="K9" s="10"/>
      <c r="L9" s="10"/>
      <c r="M9" s="10"/>
      <c r="N9" s="10"/>
      <c r="O9" s="10"/>
    </row>
    <row r="10" customFormat="false" ht="60" hidden="false" customHeight="true" outlineLevel="0" collapsed="false">
      <c r="A10" s="10" t="s">
        <v>259</v>
      </c>
      <c r="B10" s="13"/>
      <c r="C10" s="10"/>
      <c r="D10" s="10"/>
      <c r="E10" s="13"/>
      <c r="F10" s="13"/>
      <c r="G10" s="13"/>
      <c r="H10" s="13"/>
      <c r="I10" s="13"/>
      <c r="J10" s="10"/>
      <c r="K10" s="10"/>
      <c r="L10" s="10"/>
      <c r="M10" s="10"/>
      <c r="N10" s="10"/>
      <c r="O10" s="10"/>
    </row>
    <row r="11" customFormat="false" ht="60" hidden="false" customHeight="true" outlineLevel="0" collapsed="false">
      <c r="A11" s="10" t="s">
        <v>260</v>
      </c>
      <c r="B11" s="13"/>
      <c r="C11" s="10"/>
      <c r="D11" s="10"/>
      <c r="E11" s="13"/>
      <c r="F11" s="13"/>
      <c r="G11" s="13"/>
      <c r="H11" s="13"/>
      <c r="I11" s="13"/>
      <c r="J11" s="10"/>
      <c r="K11" s="10"/>
      <c r="L11" s="10"/>
      <c r="M11" s="10"/>
      <c r="N11" s="10"/>
      <c r="O11" s="10"/>
    </row>
    <row r="12" customFormat="false" ht="60" hidden="false" customHeight="true" outlineLevel="0" collapsed="false">
      <c r="A12" s="10" t="s">
        <v>261</v>
      </c>
      <c r="B12" s="13"/>
      <c r="C12" s="10"/>
      <c r="D12" s="10"/>
      <c r="E12" s="13"/>
      <c r="F12" s="13"/>
      <c r="G12" s="13"/>
      <c r="H12" s="13"/>
      <c r="I12" s="13"/>
      <c r="J12" s="10"/>
      <c r="K12" s="10"/>
      <c r="L12" s="10"/>
      <c r="M12" s="10"/>
      <c r="N12" s="10"/>
      <c r="O12" s="10"/>
    </row>
    <row r="13" customFormat="false" ht="60" hidden="false" customHeight="true" outlineLevel="0" collapsed="false">
      <c r="A13" s="10" t="s">
        <v>262</v>
      </c>
      <c r="B13" s="13"/>
      <c r="C13" s="10"/>
      <c r="D13" s="10"/>
      <c r="E13" s="13"/>
      <c r="F13" s="13"/>
      <c r="G13" s="13"/>
      <c r="H13" s="13"/>
      <c r="I13" s="13"/>
      <c r="J13" s="10"/>
      <c r="K13" s="10"/>
      <c r="L13" s="10"/>
      <c r="M13" s="10"/>
      <c r="N13" s="10"/>
      <c r="O13" s="10"/>
    </row>
    <row r="14" customFormat="false" ht="60" hidden="false" customHeight="true" outlineLevel="0" collapsed="false">
      <c r="A14" s="10" t="s">
        <v>263</v>
      </c>
      <c r="B14" s="13"/>
      <c r="C14" s="10"/>
      <c r="D14" s="10"/>
      <c r="E14" s="13"/>
      <c r="F14" s="13"/>
      <c r="G14" s="13"/>
      <c r="H14" s="13"/>
      <c r="I14" s="13"/>
      <c r="J14" s="10"/>
      <c r="K14" s="10"/>
      <c r="L14" s="10"/>
      <c r="M14" s="10"/>
      <c r="N14" s="10"/>
      <c r="O14" s="10"/>
    </row>
    <row r="15" customFormat="false" ht="60" hidden="false" customHeight="true" outlineLevel="0" collapsed="false">
      <c r="A15" s="10" t="s">
        <v>264</v>
      </c>
      <c r="B15" s="13"/>
      <c r="C15" s="10"/>
      <c r="D15" s="10"/>
      <c r="E15" s="13"/>
      <c r="F15" s="13"/>
      <c r="G15" s="13"/>
      <c r="H15" s="13"/>
      <c r="I15" s="13"/>
      <c r="J15" s="10"/>
      <c r="K15" s="10"/>
      <c r="L15" s="10"/>
      <c r="M15" s="10"/>
      <c r="N15" s="10"/>
      <c r="O15" s="10"/>
    </row>
    <row r="16" customFormat="false" ht="60" hidden="false" customHeight="true" outlineLevel="0" collapsed="false">
      <c r="A16" s="10" t="s">
        <v>265</v>
      </c>
      <c r="B16" s="13"/>
      <c r="C16" s="10"/>
      <c r="D16" s="10"/>
      <c r="E16" s="13"/>
      <c r="F16" s="13"/>
      <c r="G16" s="13"/>
      <c r="H16" s="13"/>
      <c r="I16" s="13"/>
      <c r="J16" s="10"/>
      <c r="K16" s="10"/>
      <c r="L16" s="10"/>
      <c r="M16" s="10"/>
      <c r="N16" s="10"/>
      <c r="O16" s="10"/>
    </row>
    <row r="17" customFormat="false" ht="60" hidden="false" customHeight="true" outlineLevel="0" collapsed="false">
      <c r="A17" s="10" t="s">
        <v>266</v>
      </c>
      <c r="B17" s="13"/>
      <c r="C17" s="10"/>
      <c r="D17" s="10"/>
      <c r="E17" s="13"/>
      <c r="F17" s="13"/>
      <c r="G17" s="13"/>
      <c r="H17" s="13"/>
      <c r="I17" s="13"/>
      <c r="J17" s="10"/>
      <c r="K17" s="10"/>
      <c r="L17" s="10"/>
      <c r="M17" s="10"/>
      <c r="N17" s="10"/>
      <c r="O17" s="10"/>
    </row>
    <row r="18" customFormat="false" ht="60" hidden="false" customHeight="true" outlineLevel="0" collapsed="false">
      <c r="A18" s="10" t="s">
        <v>267</v>
      </c>
      <c r="B18" s="13"/>
      <c r="C18" s="10"/>
      <c r="D18" s="10"/>
      <c r="E18" s="13"/>
      <c r="F18" s="13"/>
      <c r="G18" s="13"/>
      <c r="H18" s="13"/>
      <c r="I18" s="13"/>
      <c r="J18" s="10"/>
      <c r="K18" s="10"/>
      <c r="L18" s="10"/>
      <c r="M18" s="10"/>
      <c r="N18" s="10"/>
      <c r="O18" s="10"/>
    </row>
    <row r="19" customFormat="false" ht="60" hidden="false" customHeight="true" outlineLevel="0" collapsed="false">
      <c r="A19" s="10" t="s">
        <v>268</v>
      </c>
      <c r="B19" s="13"/>
      <c r="C19" s="10"/>
      <c r="D19" s="10"/>
      <c r="E19" s="13"/>
      <c r="F19" s="13"/>
      <c r="G19" s="13"/>
      <c r="H19" s="13"/>
      <c r="I19" s="13"/>
      <c r="J19" s="10"/>
      <c r="K19" s="10"/>
      <c r="L19" s="10"/>
      <c r="M19" s="10"/>
      <c r="N19" s="10"/>
      <c r="O19" s="10"/>
    </row>
    <row r="20" customFormat="false" ht="60" hidden="false" customHeight="true" outlineLevel="0" collapsed="false">
      <c r="A20" s="10" t="s">
        <v>269</v>
      </c>
      <c r="B20" s="13"/>
      <c r="C20" s="10"/>
      <c r="D20" s="10"/>
      <c r="E20" s="13"/>
      <c r="F20" s="13"/>
      <c r="G20" s="13"/>
      <c r="H20" s="13"/>
      <c r="I20" s="13"/>
      <c r="J20" s="10"/>
      <c r="K20" s="10"/>
      <c r="L20" s="10"/>
      <c r="M20" s="10"/>
      <c r="N20" s="10"/>
      <c r="O20" s="10"/>
    </row>
    <row r="21" customFormat="false" ht="60" hidden="false" customHeight="true" outlineLevel="0" collapsed="false">
      <c r="A21" s="10" t="s">
        <v>270</v>
      </c>
      <c r="B21" s="13"/>
      <c r="C21" s="10"/>
      <c r="D21" s="10"/>
      <c r="E21" s="13"/>
      <c r="F21" s="13"/>
      <c r="G21" s="13"/>
      <c r="H21" s="13"/>
      <c r="I21" s="13"/>
      <c r="J21" s="10"/>
      <c r="K21" s="10"/>
      <c r="L21" s="10"/>
      <c r="M21" s="10"/>
      <c r="N21" s="10"/>
      <c r="O21" s="10"/>
    </row>
    <row r="22" customFormat="false" ht="60" hidden="false" customHeight="true" outlineLevel="0" collapsed="false">
      <c r="A22" s="10" t="s">
        <v>271</v>
      </c>
      <c r="B22" s="13"/>
      <c r="C22" s="10"/>
      <c r="D22" s="10"/>
      <c r="E22" s="13"/>
      <c r="F22" s="13"/>
      <c r="G22" s="13"/>
      <c r="H22" s="13"/>
      <c r="I22" s="13"/>
      <c r="J22" s="10"/>
      <c r="K22" s="10"/>
      <c r="L22" s="10"/>
      <c r="M22" s="10"/>
      <c r="N22" s="10"/>
      <c r="O22" s="10"/>
    </row>
    <row r="23" customFormat="false" ht="60" hidden="false" customHeight="true" outlineLevel="0" collapsed="false">
      <c r="A23" s="10" t="s">
        <v>272</v>
      </c>
      <c r="B23" s="13"/>
      <c r="C23" s="10"/>
      <c r="D23" s="10"/>
      <c r="E23" s="13"/>
      <c r="F23" s="13"/>
      <c r="G23" s="13"/>
      <c r="H23" s="13"/>
      <c r="I23" s="13"/>
      <c r="J23" s="10"/>
      <c r="K23" s="10"/>
      <c r="L23" s="10"/>
      <c r="M23" s="10"/>
      <c r="N23" s="10"/>
      <c r="O23" s="10"/>
    </row>
    <row r="24" customFormat="false" ht="60" hidden="false" customHeight="true" outlineLevel="0" collapsed="false">
      <c r="A24" s="10" t="s">
        <v>273</v>
      </c>
      <c r="B24" s="13"/>
      <c r="C24" s="10"/>
      <c r="D24" s="10"/>
      <c r="E24" s="13"/>
      <c r="F24" s="13"/>
      <c r="G24" s="13"/>
      <c r="H24" s="13"/>
      <c r="I24" s="13"/>
      <c r="J24" s="10"/>
      <c r="K24" s="10"/>
      <c r="L24" s="10"/>
      <c r="M24" s="10"/>
      <c r="N24" s="10"/>
      <c r="O24" s="10"/>
    </row>
    <row r="25" customFormat="false" ht="60" hidden="false" customHeight="true" outlineLevel="0" collapsed="false">
      <c r="A25" s="10" t="s">
        <v>274</v>
      </c>
      <c r="B25" s="13"/>
      <c r="C25" s="10"/>
      <c r="D25" s="10"/>
      <c r="E25" s="13"/>
      <c r="F25" s="13"/>
      <c r="G25" s="13"/>
      <c r="H25" s="13"/>
      <c r="I25" s="13"/>
      <c r="J25" s="10"/>
      <c r="K25" s="10"/>
      <c r="L25" s="10"/>
      <c r="M25" s="10"/>
      <c r="N25" s="10"/>
      <c r="O25" s="10"/>
    </row>
    <row r="26" customFormat="false" ht="60" hidden="false" customHeight="true" outlineLevel="0" collapsed="false">
      <c r="A26" s="10" t="s">
        <v>275</v>
      </c>
      <c r="B26" s="13"/>
      <c r="C26" s="10"/>
      <c r="D26" s="10"/>
      <c r="E26" s="13"/>
      <c r="F26" s="13"/>
      <c r="G26" s="13"/>
      <c r="H26" s="13"/>
      <c r="I26" s="13"/>
      <c r="J26" s="10"/>
      <c r="K26" s="10"/>
      <c r="L26" s="10"/>
      <c r="M26" s="10"/>
      <c r="N26" s="10"/>
      <c r="O26" s="10"/>
    </row>
    <row r="27" customFormat="false" ht="60" hidden="false" customHeight="true" outlineLevel="0" collapsed="false">
      <c r="A27" s="10" t="s">
        <v>276</v>
      </c>
      <c r="B27" s="13"/>
      <c r="C27" s="10"/>
      <c r="D27" s="10"/>
      <c r="E27" s="13"/>
      <c r="F27" s="13"/>
      <c r="G27" s="13"/>
      <c r="H27" s="13"/>
      <c r="I27" s="13"/>
      <c r="J27" s="10"/>
      <c r="K27" s="10"/>
      <c r="L27" s="10"/>
      <c r="M27" s="10"/>
      <c r="N27" s="10"/>
      <c r="O27" s="10"/>
    </row>
    <row r="28" customFormat="false" ht="60" hidden="false" customHeight="true" outlineLevel="0" collapsed="false">
      <c r="A28" s="10" t="s">
        <v>277</v>
      </c>
      <c r="B28" s="13"/>
      <c r="C28" s="10"/>
      <c r="D28" s="10"/>
      <c r="E28" s="13"/>
      <c r="F28" s="13"/>
      <c r="G28" s="13"/>
      <c r="H28" s="13"/>
      <c r="I28" s="13"/>
      <c r="J28" s="10"/>
      <c r="K28" s="10"/>
      <c r="L28" s="10"/>
      <c r="M28" s="10"/>
      <c r="N28" s="10"/>
      <c r="O28" s="10"/>
    </row>
    <row r="29" customFormat="false" ht="60" hidden="false" customHeight="true" outlineLevel="0" collapsed="false">
      <c r="A29" s="10" t="s">
        <v>278</v>
      </c>
      <c r="B29" s="13"/>
      <c r="C29" s="10"/>
      <c r="D29" s="10"/>
      <c r="E29" s="13"/>
      <c r="F29" s="13"/>
      <c r="G29" s="13"/>
      <c r="H29" s="13"/>
      <c r="I29" s="13"/>
      <c r="J29" s="10"/>
      <c r="K29" s="10"/>
      <c r="L29" s="10"/>
      <c r="M29" s="10"/>
      <c r="N29" s="10"/>
      <c r="O29" s="10"/>
    </row>
    <row r="30" customFormat="false" ht="60" hidden="false" customHeight="true" outlineLevel="0" collapsed="false">
      <c r="A30" s="10" t="s">
        <v>279</v>
      </c>
      <c r="B30" s="13"/>
      <c r="C30" s="10"/>
      <c r="D30" s="10"/>
      <c r="E30" s="13"/>
      <c r="F30" s="13"/>
      <c r="G30" s="13"/>
      <c r="H30" s="13"/>
      <c r="I30" s="13"/>
      <c r="J30" s="10"/>
      <c r="K30" s="10"/>
      <c r="L30" s="10"/>
      <c r="M30" s="10"/>
      <c r="N30" s="10"/>
      <c r="O30" s="10"/>
    </row>
    <row r="31" customFormat="false" ht="60" hidden="false" customHeight="true" outlineLevel="0" collapsed="false">
      <c r="A31" s="10" t="s">
        <v>280</v>
      </c>
      <c r="B31" s="13"/>
      <c r="C31" s="10"/>
      <c r="D31" s="10"/>
      <c r="E31" s="13"/>
      <c r="F31" s="13"/>
      <c r="G31" s="13"/>
      <c r="H31" s="13"/>
      <c r="I31" s="13"/>
      <c r="J31" s="10"/>
      <c r="K31" s="10"/>
      <c r="L31" s="10"/>
      <c r="M31" s="10"/>
      <c r="N31" s="10"/>
      <c r="O31" s="10"/>
    </row>
    <row r="32" customFormat="false" ht="60" hidden="false" customHeight="true" outlineLevel="0" collapsed="false">
      <c r="A32" s="10" t="s">
        <v>281</v>
      </c>
      <c r="B32" s="13"/>
      <c r="C32" s="10"/>
      <c r="D32" s="10"/>
      <c r="E32" s="13"/>
      <c r="F32" s="13"/>
      <c r="G32" s="13"/>
      <c r="H32" s="13"/>
      <c r="I32" s="13"/>
      <c r="J32" s="10"/>
      <c r="K32" s="10"/>
      <c r="L32" s="10"/>
      <c r="M32" s="10"/>
      <c r="N32" s="10"/>
      <c r="O32" s="10"/>
    </row>
    <row r="33" customFormat="false" ht="60" hidden="false" customHeight="true" outlineLevel="0" collapsed="false">
      <c r="A33" s="10" t="s">
        <v>282</v>
      </c>
      <c r="B33" s="13"/>
      <c r="C33" s="10"/>
      <c r="D33" s="10"/>
      <c r="E33" s="13"/>
      <c r="F33" s="13"/>
      <c r="G33" s="13"/>
      <c r="H33" s="13"/>
      <c r="I33" s="13"/>
      <c r="J33" s="10"/>
      <c r="K33" s="10"/>
      <c r="L33" s="10"/>
      <c r="M33" s="10"/>
      <c r="N33" s="10"/>
      <c r="O33" s="10"/>
    </row>
    <row r="34" customFormat="false" ht="60" hidden="false" customHeight="true" outlineLevel="0" collapsed="false">
      <c r="A34" s="10" t="s">
        <v>283</v>
      </c>
      <c r="B34" s="13"/>
      <c r="C34" s="10"/>
      <c r="D34" s="10"/>
      <c r="E34" s="13"/>
      <c r="F34" s="13"/>
      <c r="G34" s="13"/>
      <c r="H34" s="13"/>
      <c r="I34" s="13"/>
      <c r="J34" s="10"/>
      <c r="K34" s="10"/>
      <c r="L34" s="10"/>
      <c r="M34" s="10"/>
      <c r="N34" s="10"/>
      <c r="O34" s="10"/>
    </row>
    <row r="35" customFormat="false" ht="60" hidden="false" customHeight="true" outlineLevel="0" collapsed="false">
      <c r="A35" s="10" t="s">
        <v>284</v>
      </c>
      <c r="B35" s="13"/>
      <c r="C35" s="10"/>
      <c r="D35" s="10"/>
      <c r="E35" s="13"/>
      <c r="F35" s="13"/>
      <c r="G35" s="13"/>
      <c r="H35" s="13"/>
      <c r="I35" s="13"/>
      <c r="J35" s="10"/>
      <c r="K35" s="10"/>
      <c r="L35" s="10"/>
      <c r="M35" s="10"/>
      <c r="N35" s="10"/>
      <c r="O35" s="10"/>
    </row>
    <row r="36" customFormat="false" ht="60" hidden="false" customHeight="true" outlineLevel="0" collapsed="false">
      <c r="A36" s="10" t="s">
        <v>285</v>
      </c>
      <c r="B36" s="13"/>
      <c r="C36" s="10"/>
      <c r="D36" s="10"/>
      <c r="E36" s="13"/>
      <c r="F36" s="13"/>
      <c r="G36" s="13"/>
      <c r="H36" s="13"/>
      <c r="I36" s="13"/>
      <c r="J36" s="10"/>
      <c r="K36" s="10"/>
      <c r="L36" s="10"/>
      <c r="M36" s="10"/>
      <c r="N36" s="10"/>
      <c r="O36" s="10"/>
    </row>
    <row r="37" customFormat="false" ht="60" hidden="false" customHeight="true" outlineLevel="0" collapsed="false">
      <c r="A37" s="10" t="s">
        <v>286</v>
      </c>
      <c r="B37" s="13"/>
      <c r="C37" s="10"/>
      <c r="D37" s="10"/>
      <c r="E37" s="13"/>
      <c r="F37" s="13"/>
      <c r="G37" s="13"/>
      <c r="H37" s="13"/>
      <c r="I37" s="13"/>
      <c r="J37" s="10"/>
      <c r="K37" s="10"/>
      <c r="L37" s="10"/>
      <c r="M37" s="10"/>
      <c r="N37" s="10"/>
      <c r="O37" s="10"/>
    </row>
    <row r="38" customFormat="false" ht="60" hidden="false" customHeight="true" outlineLevel="0" collapsed="false">
      <c r="A38" s="10" t="s">
        <v>287</v>
      </c>
      <c r="B38" s="13"/>
      <c r="C38" s="10"/>
      <c r="D38" s="10"/>
      <c r="E38" s="13"/>
      <c r="F38" s="13"/>
      <c r="G38" s="13"/>
      <c r="H38" s="13"/>
      <c r="I38" s="13"/>
      <c r="J38" s="10"/>
      <c r="K38" s="10"/>
      <c r="L38" s="10"/>
      <c r="M38" s="10"/>
      <c r="N38" s="10"/>
      <c r="O38" s="10"/>
    </row>
    <row r="39" customFormat="false" ht="60" hidden="false" customHeight="true" outlineLevel="0" collapsed="false">
      <c r="A39" s="10" t="s">
        <v>288</v>
      </c>
      <c r="B39" s="13"/>
      <c r="C39" s="10"/>
      <c r="D39" s="10"/>
      <c r="E39" s="13"/>
      <c r="F39" s="13"/>
      <c r="G39" s="13"/>
      <c r="H39" s="13"/>
      <c r="I39" s="13"/>
      <c r="J39" s="10"/>
      <c r="K39" s="10"/>
      <c r="L39" s="10"/>
      <c r="M39" s="10"/>
      <c r="N39" s="10"/>
      <c r="O39" s="10"/>
    </row>
    <row r="40" customFormat="false" ht="60" hidden="false" customHeight="true" outlineLevel="0" collapsed="false">
      <c r="A40" s="10" t="s">
        <v>289</v>
      </c>
      <c r="B40" s="13"/>
      <c r="C40" s="10"/>
      <c r="D40" s="10"/>
      <c r="E40" s="13"/>
      <c r="F40" s="13"/>
      <c r="G40" s="13"/>
      <c r="H40" s="13"/>
      <c r="I40" s="13"/>
      <c r="J40" s="10"/>
      <c r="K40" s="10"/>
      <c r="L40" s="10"/>
      <c r="M40" s="10"/>
      <c r="N40" s="10"/>
      <c r="O40" s="10"/>
    </row>
    <row r="41" customFormat="false" ht="60" hidden="false" customHeight="true" outlineLevel="0" collapsed="false">
      <c r="A41" s="10" t="s">
        <v>290</v>
      </c>
      <c r="B41" s="13"/>
      <c r="C41" s="10"/>
      <c r="D41" s="10"/>
      <c r="E41" s="13"/>
      <c r="F41" s="13"/>
      <c r="G41" s="13"/>
      <c r="H41" s="13"/>
      <c r="I41" s="13"/>
      <c r="J41" s="10"/>
      <c r="K41" s="10"/>
      <c r="L41" s="10"/>
      <c r="M41" s="10"/>
      <c r="N41" s="10"/>
      <c r="O41" s="10"/>
    </row>
    <row r="42" customFormat="false" ht="60" hidden="false" customHeight="true" outlineLevel="0" collapsed="false">
      <c r="A42" s="10" t="s">
        <v>291</v>
      </c>
      <c r="B42" s="13"/>
      <c r="C42" s="10"/>
      <c r="D42" s="10"/>
      <c r="E42" s="13"/>
      <c r="F42" s="13"/>
      <c r="G42" s="13"/>
      <c r="H42" s="13"/>
      <c r="I42" s="13"/>
      <c r="J42" s="10"/>
      <c r="K42" s="10"/>
      <c r="L42" s="10"/>
      <c r="M42" s="10"/>
      <c r="N42" s="10"/>
      <c r="O42" s="10"/>
    </row>
    <row r="43" customFormat="false" ht="60" hidden="false" customHeight="true" outlineLevel="0" collapsed="false">
      <c r="A43" s="10" t="s">
        <v>292</v>
      </c>
      <c r="B43" s="13"/>
      <c r="C43" s="10"/>
      <c r="D43" s="10"/>
      <c r="E43" s="13"/>
      <c r="F43" s="13"/>
      <c r="G43" s="13"/>
      <c r="H43" s="13"/>
      <c r="I43" s="13"/>
      <c r="J43" s="10"/>
      <c r="K43" s="10"/>
      <c r="L43" s="10"/>
      <c r="M43" s="10"/>
      <c r="N43" s="10"/>
      <c r="O43" s="10"/>
    </row>
    <row r="44" customFormat="false" ht="60" hidden="false" customHeight="true" outlineLevel="0" collapsed="false">
      <c r="A44" s="10" t="s">
        <v>293</v>
      </c>
      <c r="B44" s="13"/>
      <c r="C44" s="10"/>
      <c r="D44" s="10"/>
      <c r="E44" s="13"/>
      <c r="F44" s="13"/>
      <c r="G44" s="13"/>
      <c r="H44" s="13"/>
      <c r="I44" s="13"/>
      <c r="J44" s="10"/>
      <c r="K44" s="10"/>
      <c r="L44" s="10"/>
      <c r="M44" s="10"/>
      <c r="N44" s="10"/>
      <c r="O44" s="10"/>
    </row>
  </sheetData>
  <autoFilter ref="A3:O44"/>
  <conditionalFormatting sqref="D5:D44">
    <cfRule type="cellIs" priority="2" operator="equal" aboveAverage="0" equalAverage="0" bottom="0" percent="0" rank="0" text="" dxfId="9">
      <formula>"치명"</formula>
    </cfRule>
    <cfRule type="cellIs" priority="3" operator="equal" aboveAverage="0" equalAverage="0" bottom="0" percent="0" rank="0" text="" dxfId="6">
      <formula>"높음"</formula>
    </cfRule>
  </conditionalFormatting>
  <conditionalFormatting sqref="M5:M44">
    <cfRule type="cellIs" priority="4" operator="equal" aboveAverage="0" equalAverage="0" bottom="0" percent="0" rank="0" text="" dxfId="5">
      <formula>"재시험 통과"</formula>
    </cfRule>
  </conditionalFormatting>
  <dataValidations count="4">
    <dataValidation allowBlank="true" errorStyle="stop" operator="between" showDropDown="false" showErrorMessage="false" showInputMessage="false" sqref="D5:D44" type="list">
      <formula1>"치명,높음,보통,낮음"</formula1>
      <formula2>0</formula2>
    </dataValidation>
    <dataValidation allowBlank="true" errorStyle="stop" operator="between" showDropDown="false" showErrorMessage="false" showInputMessage="false" sqref="M5:M44" type="list">
      <formula1>"신규,수정 중,수정 완료,재시험 통과,보류,재현 안 됨"</formula1>
      <formula2>0</formula2>
    </dataValidation>
    <dataValidation allowBlank="true" errorStyle="stop" operator="between" showDropDown="false" showErrorMessage="false" showInputMessage="false" sqref="J5:J44 L5:L44" type="list">
      <formula1>"김찬중,권오민"</formula1>
      <formula2>0</formula2>
    </dataValidation>
    <dataValidation allowBlank="true" errorStyle="stop" operator="between" showDropDown="false" showErrorMessage="false" showInputMessage="false" sqref="O5:O44" type="list">
      <formula1>"통과,실패,미실행"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44"/>
    <col collapsed="false" customWidth="true" hidden="false" outlineLevel="0" max="8" min="7" style="0" width="9"/>
    <col collapsed="false" customWidth="true" hidden="false" outlineLevel="0" max="9" min="9" style="0" width="11"/>
  </cols>
  <sheetData>
    <row r="1" customFormat="false" ht="19.5" hidden="false" customHeight="true" outlineLevel="0" collapsed="false">
      <c r="A1" s="5" t="s">
        <v>294</v>
      </c>
      <c r="H1" s="6" t="s">
        <v>295</v>
      </c>
      <c r="I1" s="0" t="str">
        <f aca="false">COUNTIF(E5:E38,"통과")&amp;" / "&amp;COUNTA(A5:A38)</f>
        <v>0 / 34</v>
      </c>
    </row>
    <row r="2" customFormat="false" ht="15" hidden="false" customHeight="true" outlineLevel="0" collapsed="false">
      <c r="A2" s="6" t="s">
        <v>296</v>
      </c>
      <c r="B2" s="18"/>
      <c r="C2" s="18"/>
      <c r="D2" s="18"/>
      <c r="E2" s="18"/>
      <c r="F2" s="18"/>
    </row>
    <row r="4" customFormat="false" ht="30" hidden="false" customHeight="true" outlineLevel="0" collapsed="false">
      <c r="A4" s="8" t="s">
        <v>23</v>
      </c>
      <c r="B4" s="9" t="s">
        <v>26</v>
      </c>
      <c r="C4" s="9" t="s">
        <v>25</v>
      </c>
      <c r="D4" s="9" t="s">
        <v>297</v>
      </c>
      <c r="E4" s="9" t="s">
        <v>298</v>
      </c>
      <c r="F4" s="9" t="s">
        <v>299</v>
      </c>
      <c r="G4" s="9" t="s">
        <v>31</v>
      </c>
      <c r="H4" s="9" t="s">
        <v>32</v>
      </c>
      <c r="I4" s="9" t="s">
        <v>33</v>
      </c>
    </row>
    <row r="5" customFormat="false" ht="21.75" hidden="false" customHeight="true" outlineLevel="0" collapsed="false">
      <c r="A5" s="10" t="s">
        <v>35</v>
      </c>
      <c r="B5" s="11" t="s">
        <v>38</v>
      </c>
      <c r="C5" s="11" t="s">
        <v>37</v>
      </c>
      <c r="D5" s="10" t="str">
        <f aca="false">'QA 체크리스트'!G5</f>
        <v>통과</v>
      </c>
      <c r="E5" s="11" t="s">
        <v>19</v>
      </c>
      <c r="F5" s="13"/>
      <c r="G5" s="10"/>
      <c r="H5" s="10"/>
      <c r="I5" s="10"/>
    </row>
    <row r="6" customFormat="false" ht="21.75" hidden="false" customHeight="true" outlineLevel="0" collapsed="false">
      <c r="A6" s="10" t="s">
        <v>41</v>
      </c>
      <c r="B6" s="11" t="s">
        <v>43</v>
      </c>
      <c r="C6" s="11" t="s">
        <v>37</v>
      </c>
      <c r="D6" s="10" t="str">
        <f aca="false">'QA 체크리스트'!G6</f>
        <v>통과</v>
      </c>
      <c r="E6" s="11" t="s">
        <v>19</v>
      </c>
      <c r="F6" s="13"/>
      <c r="G6" s="10"/>
      <c r="H6" s="10"/>
      <c r="I6" s="10"/>
    </row>
    <row r="7" customFormat="false" ht="21.75" hidden="false" customHeight="true" outlineLevel="0" collapsed="false">
      <c r="A7" s="10" t="s">
        <v>50</v>
      </c>
      <c r="B7" s="11" t="s">
        <v>52</v>
      </c>
      <c r="C7" s="11" t="s">
        <v>37</v>
      </c>
      <c r="D7" s="10" t="str">
        <f aca="false">'QA 체크리스트'!G7</f>
        <v>통과</v>
      </c>
      <c r="E7" s="11" t="s">
        <v>19</v>
      </c>
      <c r="F7" s="13"/>
      <c r="G7" s="10"/>
      <c r="H7" s="10"/>
      <c r="I7" s="10"/>
    </row>
    <row r="8" customFormat="false" ht="21.75" hidden="false" customHeight="true" outlineLevel="0" collapsed="false">
      <c r="A8" s="10" t="s">
        <v>55</v>
      </c>
      <c r="B8" s="11" t="s">
        <v>58</v>
      </c>
      <c r="C8" s="11" t="s">
        <v>57</v>
      </c>
      <c r="D8" s="10" t="str">
        <f aca="false">'QA 체크리스트'!G8</f>
        <v>통과</v>
      </c>
      <c r="E8" s="11" t="s">
        <v>19</v>
      </c>
      <c r="F8" s="13"/>
      <c r="G8" s="10"/>
      <c r="H8" s="10"/>
      <c r="I8" s="10"/>
    </row>
    <row r="9" customFormat="false" ht="21.75" hidden="false" customHeight="true" outlineLevel="0" collapsed="false">
      <c r="A9" s="10" t="s">
        <v>63</v>
      </c>
      <c r="B9" s="11" t="s">
        <v>65</v>
      </c>
      <c r="C9" s="11" t="s">
        <v>57</v>
      </c>
      <c r="D9" s="10" t="str">
        <f aca="false">'QA 체크리스트'!G9</f>
        <v>통과</v>
      </c>
      <c r="E9" s="11" t="s">
        <v>19</v>
      </c>
      <c r="F9" s="13"/>
      <c r="G9" s="10"/>
      <c r="H9" s="10"/>
      <c r="I9" s="10"/>
    </row>
    <row r="10" customFormat="false" ht="21.75" hidden="false" customHeight="true" outlineLevel="0" collapsed="false">
      <c r="A10" s="10" t="s">
        <v>69</v>
      </c>
      <c r="B10" s="11" t="s">
        <v>70</v>
      </c>
      <c r="C10" s="11" t="s">
        <v>57</v>
      </c>
      <c r="D10" s="10" t="str">
        <f aca="false">'QA 체크리스트'!G10</f>
        <v>통과</v>
      </c>
      <c r="E10" s="11" t="s">
        <v>19</v>
      </c>
      <c r="F10" s="13"/>
      <c r="G10" s="10"/>
      <c r="H10" s="10"/>
      <c r="I10" s="10"/>
    </row>
    <row r="11" customFormat="false" ht="21.75" hidden="false" customHeight="true" outlineLevel="0" collapsed="false">
      <c r="A11" s="10" t="s">
        <v>74</v>
      </c>
      <c r="B11" s="11" t="s">
        <v>76</v>
      </c>
      <c r="C11" s="11" t="s">
        <v>57</v>
      </c>
      <c r="D11" s="10" t="str">
        <f aca="false">'QA 체크리스트'!G11</f>
        <v>통과</v>
      </c>
      <c r="E11" s="11" t="s">
        <v>19</v>
      </c>
      <c r="F11" s="13"/>
      <c r="G11" s="10"/>
      <c r="H11" s="10"/>
      <c r="I11" s="10"/>
    </row>
    <row r="12" customFormat="false" ht="21.75" hidden="false" customHeight="true" outlineLevel="0" collapsed="false">
      <c r="A12" s="10" t="s">
        <v>80</v>
      </c>
      <c r="B12" s="11" t="s">
        <v>82</v>
      </c>
      <c r="C12" s="11" t="s">
        <v>37</v>
      </c>
      <c r="D12" s="10" t="str">
        <f aca="false">'QA 체크리스트'!G12</f>
        <v>통과</v>
      </c>
      <c r="E12" s="11" t="s">
        <v>19</v>
      </c>
      <c r="F12" s="13"/>
      <c r="G12" s="10"/>
      <c r="H12" s="10"/>
      <c r="I12" s="10"/>
    </row>
    <row r="13" customFormat="false" ht="21.75" hidden="false" customHeight="true" outlineLevel="0" collapsed="false">
      <c r="A13" s="10" t="s">
        <v>86</v>
      </c>
      <c r="B13" s="11" t="s">
        <v>88</v>
      </c>
      <c r="C13" s="11" t="s">
        <v>57</v>
      </c>
      <c r="D13" s="10" t="str">
        <f aca="false">'QA 체크리스트'!G13</f>
        <v>통과</v>
      </c>
      <c r="E13" s="11" t="s">
        <v>19</v>
      </c>
      <c r="F13" s="13"/>
      <c r="G13" s="10"/>
      <c r="H13" s="10"/>
      <c r="I13" s="10"/>
    </row>
    <row r="14" customFormat="false" ht="21.75" hidden="false" customHeight="true" outlineLevel="0" collapsed="false">
      <c r="A14" s="10" t="s">
        <v>92</v>
      </c>
      <c r="B14" s="11" t="s">
        <v>94</v>
      </c>
      <c r="C14" s="11" t="s">
        <v>57</v>
      </c>
      <c r="D14" s="10" t="str">
        <f aca="false">'QA 체크리스트'!G14</f>
        <v>통과</v>
      </c>
      <c r="E14" s="11" t="s">
        <v>19</v>
      </c>
      <c r="F14" s="13"/>
      <c r="G14" s="10"/>
      <c r="H14" s="10"/>
      <c r="I14" s="10"/>
    </row>
    <row r="15" customFormat="false" ht="21.75" hidden="false" customHeight="true" outlineLevel="0" collapsed="false">
      <c r="A15" s="10" t="s">
        <v>98</v>
      </c>
      <c r="B15" s="11" t="s">
        <v>99</v>
      </c>
      <c r="C15" s="11" t="s">
        <v>57</v>
      </c>
      <c r="D15" s="10" t="str">
        <f aca="false">'QA 체크리스트'!G15</f>
        <v>통과</v>
      </c>
      <c r="E15" s="11" t="s">
        <v>19</v>
      </c>
      <c r="F15" s="13"/>
      <c r="G15" s="10"/>
      <c r="H15" s="10"/>
      <c r="I15" s="10"/>
    </row>
    <row r="16" customFormat="false" ht="21.75" hidden="false" customHeight="true" outlineLevel="0" collapsed="false">
      <c r="A16" s="10" t="s">
        <v>103</v>
      </c>
      <c r="B16" s="11" t="s">
        <v>104</v>
      </c>
      <c r="C16" s="11" t="s">
        <v>57</v>
      </c>
      <c r="D16" s="10" t="str">
        <f aca="false">'QA 체크리스트'!G16</f>
        <v>통과</v>
      </c>
      <c r="E16" s="11" t="s">
        <v>19</v>
      </c>
      <c r="F16" s="13"/>
      <c r="G16" s="10"/>
      <c r="H16" s="10"/>
      <c r="I16" s="10"/>
    </row>
    <row r="17" customFormat="false" ht="21.75" hidden="false" customHeight="true" outlineLevel="0" collapsed="false">
      <c r="A17" s="10" t="s">
        <v>108</v>
      </c>
      <c r="B17" s="11" t="s">
        <v>110</v>
      </c>
      <c r="C17" s="11" t="s">
        <v>57</v>
      </c>
      <c r="D17" s="10" t="str">
        <f aca="false">'QA 체크리스트'!G17</f>
        <v>통과</v>
      </c>
      <c r="E17" s="11" t="s">
        <v>19</v>
      </c>
      <c r="F17" s="13"/>
      <c r="G17" s="10"/>
      <c r="H17" s="10"/>
      <c r="I17" s="10"/>
    </row>
    <row r="18" customFormat="false" ht="21.75" hidden="false" customHeight="true" outlineLevel="0" collapsed="false">
      <c r="A18" s="10" t="s">
        <v>114</v>
      </c>
      <c r="B18" s="11" t="s">
        <v>116</v>
      </c>
      <c r="C18" s="11" t="s">
        <v>57</v>
      </c>
      <c r="D18" s="10" t="str">
        <f aca="false">'QA 체크리스트'!G18</f>
        <v>통과</v>
      </c>
      <c r="E18" s="11" t="s">
        <v>19</v>
      </c>
      <c r="F18" s="13"/>
      <c r="G18" s="10"/>
      <c r="H18" s="10"/>
      <c r="I18" s="10"/>
    </row>
    <row r="19" customFormat="false" ht="21.75" hidden="false" customHeight="true" outlineLevel="0" collapsed="false">
      <c r="A19" s="10" t="s">
        <v>120</v>
      </c>
      <c r="B19" s="11" t="s">
        <v>123</v>
      </c>
      <c r="C19" s="11" t="s">
        <v>122</v>
      </c>
      <c r="D19" s="10" t="str">
        <f aca="false">'QA 체크리스트'!G19</f>
        <v>통과</v>
      </c>
      <c r="E19" s="11" t="s">
        <v>19</v>
      </c>
      <c r="F19" s="13"/>
      <c r="G19" s="10"/>
      <c r="H19" s="10"/>
      <c r="I19" s="10"/>
    </row>
    <row r="20" customFormat="false" ht="21.75" hidden="false" customHeight="true" outlineLevel="0" collapsed="false">
      <c r="A20" s="10" t="s">
        <v>127</v>
      </c>
      <c r="B20" s="11" t="s">
        <v>129</v>
      </c>
      <c r="C20" s="11" t="s">
        <v>37</v>
      </c>
      <c r="D20" s="10" t="str">
        <f aca="false">'QA 체크리스트'!G20</f>
        <v>통과</v>
      </c>
      <c r="E20" s="11" t="s">
        <v>19</v>
      </c>
      <c r="F20" s="13"/>
      <c r="G20" s="10"/>
      <c r="H20" s="10"/>
      <c r="I20" s="10"/>
    </row>
    <row r="21" customFormat="false" ht="21.75" hidden="false" customHeight="true" outlineLevel="0" collapsed="false">
      <c r="A21" s="10" t="s">
        <v>133</v>
      </c>
      <c r="B21" s="11" t="s">
        <v>135</v>
      </c>
      <c r="C21" s="11" t="s">
        <v>37</v>
      </c>
      <c r="D21" s="10" t="str">
        <f aca="false">'QA 체크리스트'!G21</f>
        <v>통과</v>
      </c>
      <c r="E21" s="11" t="s">
        <v>19</v>
      </c>
      <c r="F21" s="13"/>
      <c r="G21" s="10"/>
      <c r="H21" s="10"/>
      <c r="I21" s="10"/>
    </row>
    <row r="22" customFormat="false" ht="21.75" hidden="false" customHeight="true" outlineLevel="0" collapsed="false">
      <c r="A22" s="10" t="s">
        <v>137</v>
      </c>
      <c r="B22" s="11" t="s">
        <v>139</v>
      </c>
      <c r="C22" s="11" t="s">
        <v>37</v>
      </c>
      <c r="D22" s="10" t="str">
        <f aca="false">'QA 체크리스트'!G22</f>
        <v>통과</v>
      </c>
      <c r="E22" s="11" t="s">
        <v>19</v>
      </c>
      <c r="F22" s="13"/>
      <c r="G22" s="10"/>
      <c r="H22" s="10"/>
      <c r="I22" s="10"/>
    </row>
    <row r="23" customFormat="false" ht="21.75" hidden="false" customHeight="true" outlineLevel="0" collapsed="false">
      <c r="A23" s="10" t="s">
        <v>142</v>
      </c>
      <c r="B23" s="11" t="s">
        <v>144</v>
      </c>
      <c r="C23" s="11" t="s">
        <v>37</v>
      </c>
      <c r="D23" s="10" t="str">
        <f aca="false">'QA 체크리스트'!G23</f>
        <v>통과</v>
      </c>
      <c r="E23" s="11" t="s">
        <v>19</v>
      </c>
      <c r="F23" s="13"/>
      <c r="G23" s="10"/>
      <c r="H23" s="10"/>
      <c r="I23" s="10"/>
    </row>
    <row r="24" customFormat="false" ht="21.75" hidden="false" customHeight="true" outlineLevel="0" collapsed="false">
      <c r="A24" s="10" t="s">
        <v>147</v>
      </c>
      <c r="B24" s="11" t="s">
        <v>149</v>
      </c>
      <c r="C24" s="11" t="s">
        <v>37</v>
      </c>
      <c r="D24" s="10" t="str">
        <f aca="false">'QA 체크리스트'!G24</f>
        <v>통과</v>
      </c>
      <c r="E24" s="11" t="s">
        <v>19</v>
      </c>
      <c r="F24" s="13"/>
      <c r="G24" s="10"/>
      <c r="H24" s="10"/>
      <c r="I24" s="10"/>
    </row>
    <row r="25" customFormat="false" ht="21.75" hidden="false" customHeight="true" outlineLevel="0" collapsed="false">
      <c r="A25" s="10" t="s">
        <v>152</v>
      </c>
      <c r="B25" s="11" t="s">
        <v>154</v>
      </c>
      <c r="C25" s="11" t="s">
        <v>37</v>
      </c>
      <c r="D25" s="10" t="str">
        <f aca="false">'QA 체크리스트'!G25</f>
        <v>통과</v>
      </c>
      <c r="E25" s="11" t="s">
        <v>19</v>
      </c>
      <c r="F25" s="13"/>
      <c r="G25" s="10"/>
      <c r="H25" s="10"/>
      <c r="I25" s="10"/>
    </row>
    <row r="26" customFormat="false" ht="21.75" hidden="false" customHeight="true" outlineLevel="0" collapsed="false">
      <c r="A26" s="10" t="s">
        <v>156</v>
      </c>
      <c r="B26" s="11" t="s">
        <v>158</v>
      </c>
      <c r="C26" s="11" t="s">
        <v>37</v>
      </c>
      <c r="D26" s="10" t="str">
        <f aca="false">'QA 체크리스트'!G26</f>
        <v>통과</v>
      </c>
      <c r="E26" s="11" t="s">
        <v>19</v>
      </c>
      <c r="F26" s="13"/>
      <c r="G26" s="10"/>
      <c r="H26" s="10"/>
      <c r="I26" s="10"/>
    </row>
    <row r="27" customFormat="false" ht="21.75" hidden="false" customHeight="true" outlineLevel="0" collapsed="false">
      <c r="A27" s="10" t="s">
        <v>160</v>
      </c>
      <c r="B27" s="11" t="s">
        <v>162</v>
      </c>
      <c r="C27" s="11" t="s">
        <v>57</v>
      </c>
      <c r="D27" s="10" t="str">
        <f aca="false">'QA 체크리스트'!G27</f>
        <v>통과</v>
      </c>
      <c r="E27" s="11" t="s">
        <v>19</v>
      </c>
      <c r="F27" s="13"/>
      <c r="G27" s="10"/>
      <c r="H27" s="10"/>
      <c r="I27" s="10"/>
    </row>
    <row r="28" customFormat="false" ht="21.75" hidden="false" customHeight="true" outlineLevel="0" collapsed="false">
      <c r="A28" s="10" t="s">
        <v>166</v>
      </c>
      <c r="B28" s="11" t="s">
        <v>168</v>
      </c>
      <c r="C28" s="11" t="s">
        <v>37</v>
      </c>
      <c r="D28" s="10" t="str">
        <f aca="false">'QA 체크리스트'!G28</f>
        <v>통과</v>
      </c>
      <c r="E28" s="11" t="s">
        <v>19</v>
      </c>
      <c r="F28" s="13"/>
      <c r="G28" s="10"/>
      <c r="H28" s="10"/>
      <c r="I28" s="10"/>
    </row>
    <row r="29" customFormat="false" ht="21.75" hidden="false" customHeight="true" outlineLevel="0" collapsed="false">
      <c r="A29" s="10" t="s">
        <v>172</v>
      </c>
      <c r="B29" s="11" t="s">
        <v>174</v>
      </c>
      <c r="C29" s="11" t="s">
        <v>37</v>
      </c>
      <c r="D29" s="10" t="str">
        <f aca="false">'QA 체크리스트'!G29</f>
        <v>통과</v>
      </c>
      <c r="E29" s="11" t="s">
        <v>19</v>
      </c>
      <c r="F29" s="13"/>
      <c r="G29" s="10"/>
      <c r="H29" s="10"/>
      <c r="I29" s="10"/>
    </row>
    <row r="30" customFormat="false" ht="21.75" hidden="false" customHeight="true" outlineLevel="0" collapsed="false">
      <c r="A30" s="10" t="s">
        <v>178</v>
      </c>
      <c r="B30" s="11" t="s">
        <v>179</v>
      </c>
      <c r="C30" s="11" t="s">
        <v>57</v>
      </c>
      <c r="D30" s="10" t="str">
        <f aca="false">'QA 체크리스트'!G30</f>
        <v>통과</v>
      </c>
      <c r="E30" s="11" t="s">
        <v>19</v>
      </c>
      <c r="F30" s="13"/>
      <c r="G30" s="10"/>
      <c r="H30" s="10"/>
      <c r="I30" s="10"/>
    </row>
    <row r="31" customFormat="false" ht="21.75" hidden="false" customHeight="true" outlineLevel="0" collapsed="false">
      <c r="A31" s="10" t="s">
        <v>183</v>
      </c>
      <c r="B31" s="10" t="s">
        <v>185</v>
      </c>
      <c r="C31" s="11" t="s">
        <v>57</v>
      </c>
      <c r="D31" s="10" t="str">
        <f aca="false">'QA 체크리스트'!G31</f>
        <v>보류</v>
      </c>
      <c r="E31" s="11" t="s">
        <v>19</v>
      </c>
      <c r="F31" s="13"/>
      <c r="G31" s="10"/>
      <c r="H31" s="10"/>
      <c r="I31" s="10"/>
    </row>
    <row r="32" customFormat="false" ht="21.75" hidden="false" customHeight="true" outlineLevel="0" collapsed="false">
      <c r="A32" s="10" t="s">
        <v>190</v>
      </c>
      <c r="B32" s="11" t="s">
        <v>192</v>
      </c>
      <c r="C32" s="11" t="s">
        <v>57</v>
      </c>
      <c r="D32" s="10" t="str">
        <f aca="false">'QA 체크리스트'!G32</f>
        <v>통과</v>
      </c>
      <c r="E32" s="11" t="s">
        <v>19</v>
      </c>
      <c r="F32" s="13"/>
      <c r="G32" s="10"/>
      <c r="H32" s="10"/>
      <c r="I32" s="10"/>
    </row>
    <row r="33" customFormat="false" ht="21.75" hidden="false" customHeight="true" outlineLevel="0" collapsed="false">
      <c r="A33" s="10" t="s">
        <v>196</v>
      </c>
      <c r="B33" s="11" t="s">
        <v>198</v>
      </c>
      <c r="C33" s="11" t="s">
        <v>37</v>
      </c>
      <c r="D33" s="10" t="str">
        <f aca="false">'QA 체크리스트'!G33</f>
        <v>통과</v>
      </c>
      <c r="E33" s="11" t="s">
        <v>19</v>
      </c>
      <c r="F33" s="13"/>
      <c r="G33" s="10"/>
      <c r="H33" s="10"/>
      <c r="I33" s="10"/>
    </row>
    <row r="34" customFormat="false" ht="21.75" hidden="false" customHeight="true" outlineLevel="0" collapsed="false">
      <c r="A34" s="10" t="s">
        <v>202</v>
      </c>
      <c r="B34" s="11" t="s">
        <v>204</v>
      </c>
      <c r="C34" s="11" t="s">
        <v>57</v>
      </c>
      <c r="D34" s="10" t="str">
        <f aca="false">'QA 체크리스트'!G34</f>
        <v>보류</v>
      </c>
      <c r="E34" s="11" t="s">
        <v>19</v>
      </c>
      <c r="F34" s="13"/>
      <c r="G34" s="10"/>
      <c r="H34" s="10"/>
      <c r="I34" s="10"/>
    </row>
    <row r="35" customFormat="false" ht="21.75" hidden="false" customHeight="true" outlineLevel="0" collapsed="false">
      <c r="A35" s="10" t="s">
        <v>208</v>
      </c>
      <c r="B35" s="11" t="s">
        <v>210</v>
      </c>
      <c r="C35" s="11" t="s">
        <v>57</v>
      </c>
      <c r="D35" s="10" t="str">
        <f aca="false">'QA 체크리스트'!G35</f>
        <v>보류</v>
      </c>
      <c r="E35" s="11" t="s">
        <v>19</v>
      </c>
      <c r="F35" s="13"/>
      <c r="G35" s="10"/>
      <c r="H35" s="10"/>
      <c r="I35" s="10"/>
    </row>
    <row r="36" customFormat="false" ht="21.75" hidden="false" customHeight="true" outlineLevel="0" collapsed="false">
      <c r="A36" s="10" t="s">
        <v>214</v>
      </c>
      <c r="B36" s="11" t="s">
        <v>216</v>
      </c>
      <c r="C36" s="11" t="s">
        <v>37</v>
      </c>
      <c r="D36" s="10" t="str">
        <f aca="false">'QA 체크리스트'!G36</f>
        <v>통과</v>
      </c>
      <c r="E36" s="11" t="s">
        <v>19</v>
      </c>
      <c r="F36" s="13"/>
      <c r="G36" s="10"/>
      <c r="H36" s="10"/>
      <c r="I36" s="10"/>
    </row>
    <row r="37" customFormat="false" ht="21.75" hidden="false" customHeight="true" outlineLevel="0" collapsed="false">
      <c r="A37" s="10" t="s">
        <v>219</v>
      </c>
      <c r="B37" s="10" t="s">
        <v>221</v>
      </c>
      <c r="C37" s="11" t="s">
        <v>57</v>
      </c>
      <c r="D37" s="10" t="str">
        <f aca="false">'QA 체크리스트'!G37</f>
        <v>보류</v>
      </c>
      <c r="E37" s="11" t="s">
        <v>19</v>
      </c>
      <c r="F37" s="13"/>
      <c r="G37" s="10"/>
      <c r="H37" s="10"/>
      <c r="I37" s="10"/>
    </row>
    <row r="38" customFormat="false" ht="21.75" hidden="false" customHeight="true" outlineLevel="0" collapsed="false">
      <c r="A38" s="10" t="s">
        <v>225</v>
      </c>
      <c r="B38" s="10" t="s">
        <v>227</v>
      </c>
      <c r="C38" s="11" t="s">
        <v>37</v>
      </c>
      <c r="D38" s="10" t="str">
        <f aca="false">'QA 체크리스트'!G38</f>
        <v>통과</v>
      </c>
      <c r="E38" s="11" t="s">
        <v>19</v>
      </c>
      <c r="F38" s="13"/>
      <c r="G38" s="10"/>
      <c r="H38" s="10"/>
      <c r="I38" s="10"/>
    </row>
  </sheetData>
  <mergeCells count="1">
    <mergeCell ref="B2:F2"/>
  </mergeCells>
  <conditionalFormatting sqref="E5:E38">
    <cfRule type="cellIs" priority="2" operator="equal" aboveAverage="0" equalAverage="0" bottom="0" percent="0" rank="0" text="" dxfId="5">
      <formula>"통과"</formula>
    </cfRule>
    <cfRule type="cellIs" priority="3" operator="equal" aboveAverage="0" equalAverage="0" bottom="0" percent="0" rank="0" text="" dxfId="6">
      <formula>"실패"</formula>
    </cfRule>
    <cfRule type="expression" priority="4" aboveAverage="0" equalAverage="0" bottom="0" percent="0" rank="0" text="" dxfId="10">
      <formula>AND(D5="통과",E5="실패")</formula>
    </cfRule>
  </conditionalFormatting>
  <dataValidations count="1">
    <dataValidation allowBlank="true" errorStyle="stop" operator="between" showDropDown="false" showErrorMessage="false" showInputMessage="false" sqref="E5:E38" type="list">
      <formula1>"통과,실패,보류,미실행"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2026-10-13T01:54:25Z</dcterms:created>
  <dc:creator>openpyxl</dc:creator>
  <dc:description/>
  <dc:language>en-US</dc:language>
  <cp:lastModifiedBy>yw shin</cp:lastModifiedBy>
  <dcterms:modified xsi:type="dcterms:W3CDTF">2026-10-13T03:01:35Z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