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WBS" sheetId="1" state="visible" r:id="rId3"/>
    <sheet name="휴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<sst xmlns="http://schemas.openxmlformats.org/spreadsheetml/2006/main" count="508" uniqueCount="242">
  <si>
    <t xml:space="preserve">모델하우스 컨피규레이터</t>
  </si>
  <si>
    <t xml:space="preserve">실적기준일</t>
  </si>
  <si>
    <t xml:space="preserve">SPI</t>
  </si>
  <si>
    <t xml:space="preserve">단계</t>
  </si>
  <si>
    <t xml:space="preserve">TASK</t>
  </si>
  <si>
    <t xml:space="preserve">담당</t>
  </si>
  <si>
    <t xml:space="preserve">산출물 / 완료 기준</t>
  </si>
  <si>
    <t xml:space="preserve">계획
시작일</t>
  </si>
  <si>
    <t xml:space="preserve">예상
완료일</t>
  </si>
  <si>
    <t xml:space="preserve">실제
시작일</t>
  </si>
  <si>
    <t xml:space="preserve">실제
완료(예정)일</t>
  </si>
  <si>
    <t xml:space="preserve">계획
기간</t>
  </si>
  <si>
    <t xml:space="preserve">실제
기간</t>
  </si>
  <si>
    <t xml:space="preserve">계획
진행</t>
  </si>
  <si>
    <t xml:space="preserve">실제
진행</t>
  </si>
  <si>
    <t xml:space="preserve">계획
완료율</t>
  </si>
  <si>
    <t xml:space="preserve">작업
완료율</t>
  </si>
  <si>
    <t xml:space="preserve">프로젝트 실적</t>
  </si>
  <si>
    <t xml:space="preserve">일정</t>
  </si>
  <si>
    <t xml:space="preserve">실적 입력</t>
  </si>
  <si>
    <t xml:space="preserve">주담당</t>
  </si>
  <si>
    <t xml:space="preserve">검토</t>
  </si>
  <si>
    <t xml:space="preserve">진척률</t>
  </si>
  <si>
    <t xml:space="preserve">차이(%p)</t>
  </si>
  <si>
    <t xml:space="preserve">2026년 10월</t>
  </si>
  <si>
    <t xml:space="preserve">작업 상태</t>
  </si>
  <si>
    <t xml:space="preserve">전체 작업량</t>
  </si>
  <si>
    <t xml:space="preserve">완료 작업량</t>
  </si>
  <si>
    <t xml:space="preserve">번호</t>
  </si>
  <si>
    <t xml:space="preserve">가중치</t>
  </si>
  <si>
    <t xml:space="preserve">수행단계</t>
  </si>
  <si>
    <t xml:space="preserve">기획·설계</t>
  </si>
  <si>
    <t xml:space="preserve">1.01 SRS 범위 및 Must 확정 (v2.7: 13개)</t>
  </si>
  <si>
    <t xml:space="preserve">권오민</t>
  </si>
  <si>
    <t xml:space="preserve">김찬중</t>
  </si>
  <si>
    <t xml:space="preserve">전체
삭제 요구사항 제외, FR-29 하위 7개와 부모 중복 집계 없음
v2.7: 강사 피드백(정지·일시정지·옵션 초기화) 반영</t>
  </si>
  <si>
    <t xml:space="preserve">완료</t>
  </si>
  <si>
    <t xml:space="preserve">1.02 이벤트·상태·장치 인터페이스 설계</t>
  </si>
  <si>
    <t xml:space="preserve">NFR-05/06
HomeEvents, 상태 DTO, 로봇 인터페이스 합의</t>
  </si>
  <si>
    <t xml:space="preserve">1.03 화면 흐름·메뉴·시연 동선 설계</t>
  </si>
  <si>
    <t xml:space="preserve">FR-01/11/34
현관부터 커피·옵션·시간대까지 동선 확정</t>
  </si>
  <si>
    <t xml:space="preserve">1.04 인수 기준 및 테스트 환경 정리</t>
  </si>
  <si>
    <t xml:space="preserve">전체
시연 PC 사양·Windows 10/11 확보 여부 기록</t>
  </si>
  <si>
    <t xml:space="preserve">1.05 담당·브랜치·씬 소유권 합의</t>
  </si>
  <si>
    <t xml:space="preserve">관리
Main은 권오민만 편집, 로봇은 독립 프리팹으로 전달</t>
  </si>
  <si>
    <t xml:space="preserve">환경·공간 구축</t>
  </si>
  <si>
    <t xml:space="preserve">2.01 Unity 버전·프로젝트·패키지 확인</t>
  </si>
  <si>
    <t xml:space="preserve">환경
6000.4.0f1, URP 및 필요한 패키지 버전 고정</t>
  </si>
  <si>
    <t xml:space="preserve">2.02 Git 제외 경로·메타 관리 설정</t>
  </si>
  <si>
    <t xml:space="preserve">환경
Library·빌드·ThirdParty 제외, 메타와 원본 쌍 확인</t>
  </si>
  <si>
    <t xml:space="preserve">2.03 아파트 에셋 가져오기·Main 구성</t>
  </si>
  <si>
    <t xml:space="preserve">NFR-03
누락 재질 없이 Main 실행, 원본 별도 보관</t>
  </si>
  <si>
    <t xml:space="preserve">2.04 스케일·문 높이·충돌체 정리</t>
  </si>
  <si>
    <t xml:space="preserve">FR-01,NFR-03
1unit=1m, scale1, 문 높이 에셋 기본(약 2.5m), 벽 관통 방지</t>
  </si>
  <si>
    <t xml:space="preserve">2.05 4개 구역·입구·거실주방 경계 배치</t>
  </si>
  <si>
    <t xml:space="preserve">FR-02/04/05
현관·거실·주방·침실 구역과 통과 방향 지정</t>
  </si>
  <si>
    <t xml:space="preserve">2.06 벽·바닥 등 옵션 대상 7종 분리</t>
  </si>
  <si>
    <t xml:space="preserve">FR-29
모든 교체 대상 등록, 원본 공유 재질 보존</t>
  </si>
  <si>
    <t xml:space="preserve">2.07 6축 관절·그리퍼 프리팹 구성</t>
  </si>
  <si>
    <t xml:space="preserve">FR-15
축·회전 제한·홈 자세 기록, 테스트 씬 분리</t>
  </si>
  <si>
    <t xml:space="preserve">2.08 커피머신·컵·목표 지점 배치</t>
  </si>
  <si>
    <t xml:space="preserve">FR-13/15
컵 보관대(컵3)·찻잔 받침대·커피 머신·싱크대, 밑동에서 0.60m 이내</t>
  </si>
  <si>
    <t xml:space="preserve">2.09 HomeEvents 발행·구독 구현</t>
  </si>
  <si>
    <t xml:space="preserve">NFR-05
입퇴실·옵션·시간·로봇 이벤트 형식 통일</t>
  </si>
  <si>
    <t xml:space="preserve">2.10 URP 기본 조명·프로브 배치</t>
  </si>
  <si>
    <t xml:space="preserve">NFR-10
Forward+ 및 구역별 반사 프로브 구성
거울 프로브 Custom 유지·중복 정리 (10/12)</t>
  </si>
  <si>
    <t xml:space="preserve">2.11 첫날 프리팹 전달·Main 통합</t>
  </si>
  <si>
    <t xml:space="preserve">관리
Main 실행 오류 없음, 누락 참조 확인</t>
  </si>
  <si>
    <t xml:space="preserve">2.12 첫날 PR 검토·로그 점검</t>
  </si>
  <si>
    <t xml:space="preserve">관리
리뷰 완료, 19시 이전 통합·다음 작업 공유</t>
  </si>
  <si>
    <t xml:space="preserve">기능 구현 1</t>
  </si>
  <si>
    <t xml:space="preserve">3.01 WASD 이동·카메라 높이 구현</t>
  </si>
  <si>
    <t xml:space="preserve">FR-01
높이1.6m, 바라보는 방향 기준 이동</t>
  </si>
  <si>
    <t xml:space="preserve">3.02 우클릭 시점·커서·UI 입력 분리</t>
  </si>
  <si>
    <t xml:space="preserve">FR-01
우클릭 때만 회전, 커서 표시, UI 위 회전 방지</t>
  </si>
  <si>
    <t xml:space="preserve">3.03 낙하 복귀·벽 충돌 검증</t>
  </si>
  <si>
    <t xml:space="preserve">FR-01
4개 구역 이동 및 낙하 복귀 재현</t>
  </si>
  <si>
    <t xml:space="preserve">3.04 입구 통과 방향 기반 재실 판정</t>
  </si>
  <si>
    <t xml:space="preserve">FR-04/05
단순 접촉·정지로 상태 변경 없음</t>
  </si>
  <si>
    <t xml:space="preserve">3.05 조명 켜기·꺼짐 예약·재진입 취소</t>
  </si>
  <si>
    <t xml:space="preserve">FR-04/05
입실1초, 퇴실3초 대기+1초 감광
LightFader 공통 클래스, 4개 구역 조명 5개 (10/12)</t>
  </si>
  <si>
    <t xml:space="preserve">3.06 (삭제) 중문 자동 개폐</t>
  </si>
  <si>
    <t xml:space="preserve">FR-07 삭제
10/9 팀 결정으로 중문 제외(SRS v2.5), 작업 없음</t>
  </si>
  <si>
    <t xml:space="preserve">보류</t>
  </si>
  <si>
    <t xml:space="preserve">3.07 구역 정보 팝업 구현</t>
  </si>
  <si>
    <t xml:space="preserve">FR-02
구역명·면적·방향·특징 3초 표시, 전환 시 교체</t>
  </si>
  <si>
    <t xml:space="preserve">3.08 5m 레이캐스트·아웃라인 선택</t>
  </si>
  <si>
    <t xml:space="preserve">FR-03
선택 가능 파트만 강조·클릭, UI 뒤 클릭 차단</t>
  </si>
  <si>
    <t xml:space="preserve">3.09 카탈로그·선택 상태·가격 합계 구현</t>
  </si>
  <si>
    <t xml:space="preserve">FR-29/31
파트별 단일 선택, 기본0원, A-7 합계 검증</t>
  </si>
  <si>
    <t xml:space="preserve">3.10 벽지 교체와 공통 적용기 구현</t>
  </si>
  <si>
    <t xml:space="preserve">FR-29-01
전체 벽 대상 변경,1초 이내 반영</t>
  </si>
  <si>
    <t xml:space="preserve">3.11 상단 메뉴·패널 전환 골격</t>
  </si>
  <si>
    <t xml:space="preserve">FR-11
옵션·기록·초기화, 패널 상호 배타 및 토글 닫기</t>
  </si>
  <si>
    <t xml:space="preserve">3.12 IK 위치·방향·관절 속도 제한 구현</t>
  </si>
  <si>
    <t xml:space="preserve">FR-15
목표 오차2cm 이내,5초 타임아웃 처리</t>
  </si>
  <si>
    <t xml:space="preserve">3.13 컵 집기·놓기·부모 전환</t>
  </si>
  <si>
    <t xml:space="preserve">FR-13
그리퍼에 고정 후 머신·원점에 안정 배치</t>
  </si>
  <si>
    <t xml:space="preserve">3.14 커피 시퀀스·머신 상태 구현</t>
  </si>
  <si>
    <t xml:space="preserve">FR-13
집기→머신→5초 추출→반환→홈 순서</t>
  </si>
  <si>
    <t xml:space="preserve">3.15 추출 증기·소리·채워진 컵 표현</t>
  </si>
  <si>
    <t xml:space="preserve">FR-13
추출 중 효과, 완료 후 내용물 표시</t>
  </si>
  <si>
    <t xml:space="preserve">3.16 이동·벽지·커피 1차 연결</t>
  </si>
  <si>
    <t xml:space="preserve">관리
Main 동선에서 세 기능 시연 가능</t>
  </si>
  <si>
    <t xml:space="preserve">3.17 1차 기능 결함 수정·리뷰</t>
  </si>
  <si>
    <t xml:space="preserve">관리
참조 누락·이벤트 중복·머지 충돌 해결</t>
  </si>
  <si>
    <t xml:space="preserve">기능 구현 2 / MVP</t>
  </si>
  <si>
    <t xml:space="preserve">4.01 바닥재 3종 적용</t>
  </si>
  <si>
    <t xml:space="preserve">FR-29-02
전체 바닥 적용, 벽 선택 유지, 비용 갱신</t>
  </si>
  <si>
    <t xml:space="preserve">4.02 주방 상판 2종 적용</t>
  </si>
  <si>
    <t xml:space="preserve">FR-29-03
1초 이내 교체, 타 파트 유지</t>
  </si>
  <si>
    <t xml:space="preserve">4.03 소파 패브릭 3종 적용</t>
  </si>
  <si>
    <t xml:space="preserve">FR-29-04
색상과 가격 매핑 일치</t>
  </si>
  <si>
    <t xml:space="preserve">4.04 러그 3종 적용</t>
  </si>
  <si>
    <t xml:space="preserve">FR-29-05
기본·베이지·차콜 교체 및 유지</t>
  </si>
  <si>
    <t xml:space="preserve">4.05 그림 액자 3종 적용</t>
  </si>
  <si>
    <t xml:space="preserve">FR-29-06
선택별 텍스처 또는 오브젝트 전환</t>
  </si>
  <si>
    <t xml:space="preserve">4.06 화분 3종 적용</t>
  </si>
  <si>
    <t xml:space="preserve">FR-29-07
단일 활성화, 배치 위치 유지</t>
  </si>
  <si>
    <t xml:space="preserve">4.07 옵션 목록·가격·현재 선택 표시</t>
  </si>
  <si>
    <t xml:space="preserve">FR-11/29/31
기본0원·추가금·총액 표시, 갱신0.5초</t>
  </si>
  <si>
    <t xml:space="preserve">4.08 시각 버튼 5개 UI (SRS v2.4)</t>
  </si>
  <si>
    <t xml:space="preserve">FR-30
06·09·12·18·22시 버튼, 선택 표시, 조도 표시</t>
  </si>
  <si>
    <t xml:space="preserve">4.09 태양·환경광·하늘·창문 시각별 적용</t>
  </si>
  <si>
    <t xml:space="preserve">FR-30
A-8 시각표, 버튼 누르고 1초 이내 반영, 보간 없음
로봇팔이 시간대마다 색이 바뀌던 문제 수정 (10/12)</t>
  </si>
  <si>
    <t xml:space="preserve">4.10 구역 조도 계산·조명 합산</t>
  </si>
  <si>
    <t xml:space="preserve">FR-30
구역계수1/1/.6/.3, 켜진 조명300lux 반영</t>
  </si>
  <si>
    <t xml:space="preserve">4.11 시계 연결·시간 변경 기록</t>
  </si>
  <si>
    <t xml:space="preserve">FR-30
06·12·18·22시 값 검증, 손 놓을 때 기록</t>
  </si>
  <si>
    <t xml:space="preserve">4.12 이벤트 기록 저장·100개 FIFO</t>
  </si>
  <si>
    <t xml:space="preserve">FR-25
밀리초 시각·대상·내용, 센서와 동작 구분
기록 저장은 EventLogger, 패널은 표시만 (10/12)</t>
  </si>
  <si>
    <t xml:space="preserve">4.13 최신순 로그 패널·갱신 구현</t>
  </si>
  <si>
    <t xml:space="preserve">FR-11/25
최신 기록 위쪽, 패널 중 이동·타이머 계속</t>
  </si>
  <si>
    <t xml:space="preserve">4.14 커피 중 재클릭 무시·실패 복귀 처리</t>
  </si>
  <si>
    <t xml:space="preserve">FR-13/15
커피 중·완료 3초 이내 클릭 무시, 실패 후 홈
피드백(10/12): C 동작·X 일시정지·Z 정지(든 컵 제자리), 근접 조작 패널·식탁 안내판</t>
  </si>
  <si>
    <t xml:space="preserve">4.15 커피 로봇팔 클릭 시연 흐름</t>
  </si>
  <si>
    <t xml:space="preserve">FR-13/TC-16
5m 이내 클릭·테두리, 보관대 컵→5초 추출→받침대, 빈 받침대 30초·정리 포함 60초 이내</t>
  </si>
  <si>
    <t xml:space="preserve">4.16 커피 시연 반복·기록 확인</t>
  </si>
  <si>
    <t xml:space="preserve">FR-13/25/TC-16
다음 클릭에 지난 잔 싱크대, 3번 컵 뒤 보관대 다시 채움, 시작·상태·완료 기록 순서</t>
  </si>
  <si>
    <t xml:space="preserve">4.17 작업·타이머 취소 및 상태 복구</t>
  </si>
  <si>
    <t xml:space="preserve">FR-26
팔·머신 idle, 빈 컵 원점, 조명off·문닫힘</t>
  </si>
  <si>
    <t xml:space="preserve">4.18 옵션 유지·플레이어·시간·UI 복구</t>
  </si>
  <si>
    <t xml:space="preserve">FR-26
현관 이동·12시·패널 닫힘, 옵션과 비용 유지
[위치 초기화] 이름 변경, [옵션 초기화] 버튼(기본 옵션·0원) (10/12)</t>
  </si>
  <si>
    <t xml:space="preserve">4.19 시작·리셋 후 현관 재실 재평가</t>
  </si>
  <si>
    <t xml:space="preserve">FR-04/05/26
현관 입실 이벤트 발생 및 조명 재점등</t>
  </si>
  <si>
    <t xml:space="preserve">4.20 다중 목표·도달 불가 회귀 시험</t>
  </si>
  <si>
    <t xml:space="preserve">FR-15
아일랜드3곳·머신 통과, 도달 불가 실패 처리
10/13 자동 점검 통과: 보관대 3컵·추출구, 0.70m 컵 → 작업 실패 → 보관대·홈 (TC-18)</t>
  </si>
  <si>
    <t xml:space="preserve">4.21 퇴실·재진입 경계 시험</t>
  </si>
  <si>
    <t xml:space="preserve">FR-04/05
2초·3.5초 재진입 검증
10/13 자동 점검 통과: 2초 재진입 유지, 3.5초 재진입 0.52초에 100% (TC-05/06/07)</t>
  </si>
  <si>
    <t xml:space="preserve">4.22 필수 기능 전체 시나리오 점검</t>
  </si>
  <si>
    <t xml:space="preserve">Must 전체
Must 13개 실행 증거 확보, 실패 항목 등록</t>
  </si>
  <si>
    <t xml:space="preserve">검토 중</t>
  </si>
  <si>
    <t xml:space="preserve">4.23 이벤트·커피·비용 통합 결함 수정</t>
  </si>
  <si>
    <t xml:space="preserve">Must 전체
MVP를 막는 결함 해결 또는 영향·담당 기록
코드 리뷰 반영 PR #7·#8·#9 머지 (10/12)</t>
  </si>
  <si>
    <t xml:space="preserve">4.24 선택 기능 채택 여부 판단·PR 마감</t>
  </si>
  <si>
    <t xml:space="preserve">관리
Should/Could 착수 조건과 동결 전 잔여 시간 확인</t>
  </si>
  <si>
    <t xml:space="preserve">동결·품질·검증</t>
  </si>
  <si>
    <t xml:space="preserve">5.01 이동·옵션·UI 회귀와 결함 수정</t>
  </si>
  <si>
    <t xml:space="preserve">FR-01/02/03/11/29/31/34
필수 사용자 흐름 통과,12:20 이전 종료</t>
  </si>
  <si>
    <t xml:space="preserve">미착수</t>
  </si>
  <si>
    <t xml:space="preserve">5.02 커피·센서·초기화 회귀와 수정</t>
  </si>
  <si>
    <t xml:space="preserve">FR-04/05/07/13/15/25/26/30
전체 커피30초 이내,12:20 이전 종료
10/13 QA 자동 점검(Tools → COM → QA 자동 점검) 22/22 통과</t>
  </si>
  <si>
    <t xml:space="preserve">5.03 12:30 기능 동결·태그 확정</t>
  </si>
  <si>
    <t xml:space="preserve">관리
추가 기능 종료, 대상 커밋·잔여 결함 목록 확정</t>
  </si>
  <si>
    <t xml:space="preserve">5.04 간접광 베이크·반사·후처리 정리</t>
  </si>
  <si>
    <t xml:space="preserve">NFR-10
Baked Indirect·프로브·톤매핑·Bloom·SSAO 확인</t>
  </si>
  <si>
    <t xml:space="preserve">5.05 Profiler 측정·병목 수정</t>
  </si>
  <si>
    <t xml:space="preserve">NFR-01
1920x1080 Windows 평균60·최저30FPS 목표 확인</t>
  </si>
  <si>
    <t xml:space="preserve">5.06 이벤트 반응 시간 측정</t>
  </si>
  <si>
    <t xml:space="preserve">NFR-02
입실부터 동작 시작0.5초 이내, 의도된 지연 별도
10/13 방 진입 → 조명 켜기 시작 1ms (TC-38)</t>
  </si>
  <si>
    <t xml:space="preserve">5.07 데이터 소스·로봇 교체 시험</t>
  </si>
  <si>
    <t xml:space="preserve">NFR-05/06
소스·로봇 교체 시 소비자 코드 수정 없음</t>
  </si>
  <si>
    <t xml:space="preserve">5.08 3클릭·해상도·문구 점검</t>
  </si>
  <si>
    <t xml:space="preserve">NFR-07
옵션 변경·커피 실행 각각3클릭 이내</t>
  </si>
  <si>
    <t xml:space="preserve">5.09 Windows 1차 빌드·실행 확인</t>
  </si>
  <si>
    <t xml:space="preserve">NFR-08
플레이어 빌드 실행, 누락 리소스·예외 없음</t>
  </si>
  <si>
    <t xml:space="preserve">5.10 1차 전체 TC 수행·증거 수집</t>
  </si>
  <si>
    <t xml:space="preserve">검증표
검증표 결과와 화면·로그 경로 입력</t>
  </si>
  <si>
    <t xml:space="preserve">5.11 1차 결함 재현·수정·재시험</t>
  </si>
  <si>
    <t xml:space="preserve">전체
실패 TC마다 수정 커밋·재시험 결과 연결</t>
  </si>
  <si>
    <t xml:space="preserve">빌드·문서·발표</t>
  </si>
  <si>
    <t xml:space="preserve">6.01 최종 후보 빌드·버전 보관</t>
  </si>
  <si>
    <t xml:space="preserve">NFR-08
확정 커밋·빌드 버전·실행 파일 보관</t>
  </si>
  <si>
    <t xml:space="preserve">6.02 Windows 10/11 실행 호환 확인</t>
  </si>
  <si>
    <t xml:space="preserve">NFR-08
두 OS 실제 실행, 미확보 시 미검증 명시</t>
  </si>
  <si>
    <t xml:space="preserve">6.03 10분 연속 시연·초기화 반복</t>
  </si>
  <si>
    <t xml:space="preserve">NFR-09,FR-26
강제 종료·중복 실행 없이 반복 동작</t>
  </si>
  <si>
    <t xml:space="preserve">6.04 회귀·성능 결과 최종 정리</t>
  </si>
  <si>
    <t xml:space="preserve">전체
미검증·실패 숨기지 않고 최종 결과 기재</t>
  </si>
  <si>
    <t xml:space="preserve">6.05 README 설치·실행·조작 최신화</t>
  </si>
  <si>
    <t xml:space="preserve">문서
Unity6000.4.0f1 및 실제 채택 기능·에셋 경로 반영</t>
  </si>
  <si>
    <t xml:space="preserve">진행 중</t>
  </si>
  <si>
    <t xml:space="preserve">6.06 SRS·WBS·TC·잔여 결함 정합성 검토</t>
  </si>
  <si>
    <t xml:space="preserve">문서
요구사항 ID·테스트·릴리스 범위 일치</t>
  </si>
  <si>
    <t xml:space="preserve">6.07 발표 자료·역할·시연 대본 작성</t>
  </si>
  <si>
    <t xml:space="preserve">발표
문제·구조·핵심 기능·검증 결과와 역할 설명</t>
  </si>
  <si>
    <t xml:space="preserve">6.08 시연 영상·백업 실행본 확보</t>
  </si>
  <si>
    <t xml:space="preserve">발표
실행 장애 대비 영상·빌드 로컬 재생 확인</t>
  </si>
  <si>
    <t xml:space="preserve">6.09 발표 리허설·질의응답 준비</t>
  </si>
  <si>
    <t xml:space="preserve">발표
배정 발표 시간에 맞춰 리허설</t>
  </si>
  <si>
    <t xml:space="preserve">6.10 기술 설명·시연 장비 리허설</t>
  </si>
  <si>
    <t xml:space="preserve">발표
로봇·이벤트 구조 설명 및 장비 연결 확인</t>
  </si>
  <si>
    <t xml:space="preserve">6.11 7~8교시 발표·최종 산출물 제출</t>
  </si>
  <si>
    <t xml:space="preserve">마감
발표·제출 위치·파일명 기록</t>
  </si>
  <si>
    <t xml:space="preserve">6.12 기술 시연 지원·최종 제출 확인</t>
  </si>
  <si>
    <t xml:space="preserve">마감
빌드·자료 접근 및 시연 지원</t>
  </si>
  <si>
    <t xml:space="preserve">6.13 회고·다음 개선 과제 정리</t>
  </si>
  <si>
    <t xml:space="preserve">관리
유지할 점·개선점·후속 작업 기록</t>
  </si>
  <si>
    <t xml:space="preserve">6.14 저장소 태그·자료·미완료 정리</t>
  </si>
  <si>
    <t xml:space="preserve">관리
최종 태그와 미완료 이슈 추적 가능</t>
  </si>
  <si>
    <t xml:space="preserve">선택·확장 (미배정)</t>
  </si>
  <si>
    <t xml:space="preserve">7.01 (삭제) 최초 현관 웰컴 음성·자막</t>
  </si>
  <si>
    <t xml:space="preserve">FR-08 삭제
사운드 기능 제외(SRS v2.0), 작업 없음</t>
  </si>
  <si>
    <t xml:space="preserve">7.02 (삭제) 온도·로봇 상태 안내</t>
  </si>
  <si>
    <t xml:space="preserve">FR-10 삭제
사운드 기능 제외(SRS v2.0), 작업 없음</t>
  </si>
  <si>
    <t xml:space="preserve">7.03 (삭제) 로봇팔 직접 조종</t>
  </si>
  <si>
    <t xml:space="preserve">FR-33 삭제
직접 조종 없음, 로봇팔은 클릭 시 커피 만들기 시연만</t>
  </si>
  <si>
    <t xml:space="preserve">7.04 (삭제) 직접 조종 버튼·그립</t>
  </si>
  <si>
    <t xml:space="preserve">FR-33/34 삭제
작업 없음</t>
  </si>
  <si>
    <t xml:space="preserve">7.05 (삭제) Should 통합</t>
  </si>
  <si>
    <t xml:space="preserve">Should 0개(SRS v2.4), 작업 없음
초기화 회귀는 4.17·4.18에서 확인</t>
  </si>
  <si>
    <t xml:space="preserve">7.06 (삭제) URDF 임포트</t>
  </si>
  <si>
    <t xml:space="preserve">FR-27 삭제
자체 로봇팔 모델로 시연(SRS v2.5), 작업 없음</t>
  </si>
  <si>
    <t xml:space="preserve">7.07 (삭제) ROS2 연동</t>
  </si>
  <si>
    <t xml:space="preserve">FR-28 삭제
ROS2 연동 제외(SRS v2.2), 작업 없음</t>
  </si>
  <si>
    <t xml:space="preserve">7.08 (삭제) URDF·ROS 통합 검증</t>
  </si>
  <si>
    <t xml:space="preserve">FR-27/28
TC-35/36 증거 확보, 미채택 시 미실행 표시</t>
  </si>
  <si>
    <t xml:space="preserve">기준: SRS v2.6 및 상세 WBS 91개 작업. 공수·일정은 계획 추정. 실적은 10/12 기준 커밋·PR(#1~#5)·작업 메모·플레이 기록으로 확인한 것만 완료 처리.</t>
  </si>
  <si>
    <t xml:space="preserve">노란색 입력: L1 기준일, M/N 실제 시작·완료(예정)일, AF 상태, AG 전체 작업량, AH 완료 작업량. T 완료율은 자동 계산.</t>
  </si>
  <si>
    <t xml:space="preserve">완료율: 완료=100%, 미착수=0%, 그 외=완료 작업량/전체 작업량. 미확인·진행 중에 수량이 없으면 빈칸. 날짜만으로 완료 처리하지 않음.</t>
  </si>
  <si>
    <t xml:space="preserve">작업량은 체크리스트 개수 등 같은 단위로 입력(예: 전체4, 완료1 →25%). 음수·전체0·완료량 초과는 수량 확인 표시. 상태 완료/미착수 우선.</t>
  </si>
  <si>
    <t xml:space="preserve">단계 가중 실적과 SPI는 기본계획83개 완료율 입력 후 계산. 미입력 수는 상단 표시. 선택8개는 집계 제외. 실제 진행은 경과 근무일.</t>
  </si>
  <si>
    <t xml:space="preserve">10/12 MVP, 10/13 12:30 기능 동결(오전 작업12:20 마감), 10/14 발표. 선택 기능 채택 시 날짜·가중치 재계획.</t>
  </si>
  <si>
    <t xml:space="preserve">간트: 연두=계획, 파랑=실제/예정 기간(겹치면 파랑 우선), 회색=비작업일. 실제 종료일이 없으면 기준일까지 표시.</t>
  </si>
  <si>
    <t xml:space="preserve">10/09는 계획상 비작업일, 토·일 제외. 담당은 주담당이며 검토자는 상호 리뷰 배정안.</t>
  </si>
  <si>
    <t xml:space="preserve">진척률=단계별 평균 완료율×단계 가중치의 합, SPI=진척률/계획 완료율, 차이=진척률-계획 완료율. 날짜 역전은 날짜 확인 표시.</t>
  </si>
  <si>
    <t xml:space="preserve">(삭제)된 작업(3.06, 7.01~7.08)은 상태 보류. 3.06은 기본계획 83개 집계에 들어 있어 남은 작업이 없도록 작업량 1/1로 입력. 4.22는 권오민 점검표 12개 중 PR #5 리뷰에서 확인된 4개만 완료로 입력.</t>
  </si>
  <si>
    <t xml:space="preserve">휴일</t>
  </si>
  <si>
    <t xml:space="preserve">설명</t>
  </si>
  <si>
    <t xml:space="preserve">적용</t>
  </si>
  <si>
    <t xml:space="preserve">프로젝트 비작업일</t>
  </si>
  <si>
    <t xml:space="preserve">토·일은 수식에서 별도 제외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</si>
</sst>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0"/>
    <numFmt numFmtId="167" formatCode="m/d/yyyy"/>
    <numFmt numFmtId="168" formatCode="General"/>
    <numFmt numFmtId="169" formatCode="0.0%"/>
    <numFmt numFmtId="170" formatCode="dd"/>
    <numFmt numFmtId="171" formatCode="0"/>
    <numFmt numFmtId="172" formatCode=";;;"/>
    <numFmt numFmtId="173" formatCode="0.##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22222"/>
      <name val="Noto Sans CJK KR"/>
      <family val="0"/>
      <charset val="1"/>
    </font>
    <font>
      <b val="true"/>
      <sz val="17"/>
      <color rgb="FF222222"/>
      <name val="Noto Sans CJK KR"/>
      <family val="0"/>
      <charset val="1"/>
    </font>
    <font>
      <b val="true"/>
      <sz val="10"/>
      <color rgb="FFFFFFFF"/>
      <name val="Noto Sans CJK KR"/>
      <family val="0"/>
      <charset val="1"/>
    </font>
    <font>
      <b val="true"/>
      <sz val="10"/>
      <color rgb="FF0000FF"/>
      <name val="Noto Sans CJK KR"/>
      <family val="0"/>
      <charset val="1"/>
    </font>
    <font>
      <sz val="10"/>
      <name val="Noto Sans CJK KR"/>
      <family val="0"/>
      <charset val="1"/>
    </font>
    <font>
      <sz val="10"/>
      <color rgb="FF555555"/>
      <name val="Noto Sans CJK KR"/>
      <family val="0"/>
      <charset val="1"/>
    </font>
    <font>
      <sz val="11"/>
      <name val="Noto Sans CJK KR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404040"/>
        <bgColor rgb="FF555555"/>
      </patternFill>
    </fill>
    <fill>
      <patternFill patternType="solid">
        <fgColor rgb="FFE7E6E6"/>
        <bgColor rgb="FFEFEFEF"/>
      </patternFill>
    </fill>
    <fill>
      <patternFill patternType="solid">
        <fgColor rgb="FFDAEEF3"/>
        <bgColor rgb="FFE2F0D9"/>
      </patternFill>
    </fill>
    <fill>
      <patternFill patternType="solid">
        <fgColor rgb="FFEFEFEF"/>
        <bgColor rgb="FFE7E6E6"/>
      </patternFill>
    </fill>
    <fill>
      <patternFill patternType="solid">
        <fgColor rgb="FFE2F0D9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C8C8C8"/>
      </left>
      <right style="thin">
        <color rgb="FFC8C8C8"/>
      </right>
      <top style="medium">
        <color rgb="FF808080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A9D18E"/>
        </patternFill>
      </fill>
    </dxf>
    <dxf>
      <fill>
        <patternFill>
          <bgColor rgb="FF5B9BD5"/>
        </patternFill>
      </fill>
    </dxf>
    <dxf>
      <fill>
        <patternFill>
          <bgColor rgb="FF92D050"/>
        </patternFill>
      </fill>
    </dxf>
    <dxf>
      <font>
        <color rgb="FFC00000"/>
      </font>
    </dxf>
    <dxf>
      <font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5B9BD5"/>
      <rgbColor rgb="FF993366"/>
      <rgbColor rgb="FFFFF2CC"/>
      <rgbColor rgb="FFDAEEF3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F0D9"/>
      <rgbColor rgb="FFFFFF99"/>
      <rgbColor rgb="FFA9D18E"/>
      <rgbColor rgb="FFFF99CC"/>
      <rgbColor rgb="FFCC99FF"/>
      <rgbColor rgb="FFFCE4D6"/>
      <rgbColor rgb="FF3366FF"/>
      <rgbColor rgb="FF33CCCC"/>
      <rgbColor rgb="FF92D05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H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13" activePane="bottomLeft" state="frozen"/>
      <selection pane="topLeft" activeCell="A1" activeCellId="0" sqref="A1"/>
      <selection pane="bottomLeft" activeCell="J14" activeCellId="0" sqref="J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.38"/>
    <col collapsed="false" customWidth="true" hidden="false" outlineLevel="0" max="2" min="2" style="1" width="6.12"/>
    <col collapsed="false" customWidth="true" hidden="false" outlineLevel="0" max="3" min="3" style="1" width="7.25"/>
    <col collapsed="false" customWidth="true" hidden="false" outlineLevel="0" max="4" min="4" style="1" width="8.38"/>
    <col collapsed="false" customWidth="true" hidden="false" outlineLevel="0" max="5" min="5" style="1" width="7.25"/>
    <col collapsed="false" customWidth="true" hidden="false" outlineLevel="0" max="6" min="6" style="1" width="3.5"/>
    <col collapsed="false" customWidth="true" hidden="false" outlineLevel="0" max="7" min="7" style="1" width="32.25"/>
    <col collapsed="false" customWidth="true" hidden="false" outlineLevel="0" max="10" min="10" style="1" width="46.62"/>
    <col collapsed="false" customWidth="true" hidden="false" outlineLevel="0" max="13" min="11" style="1" width="9.52"/>
    <col collapsed="false" customWidth="true" hidden="false" outlineLevel="0" max="14" min="14" style="1" width="10.51"/>
    <col collapsed="false" customWidth="true" hidden="false" outlineLevel="0" max="18" min="15" style="1" width="6.12"/>
    <col collapsed="false" customWidth="true" hidden="false" outlineLevel="0" max="20" min="19" style="1" width="7.75"/>
    <col collapsed="false" customWidth="true" hidden="false" outlineLevel="0" max="21" min="21" style="1" width="8.38"/>
    <col collapsed="false" customWidth="true" hidden="false" outlineLevel="0" max="22" min="22" style="1" width="9.52"/>
    <col collapsed="false" customWidth="true" hidden="false" outlineLevel="0" max="31" min="23" style="1" width="3.87"/>
    <col collapsed="false" customWidth="true" hidden="false" outlineLevel="0" max="34" min="32" style="1" width="11.12"/>
  </cols>
  <sheetData>
    <row r="1" customFormat="false" ht="37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2" t="s">
        <v>1</v>
      </c>
      <c r="L1" s="4" t="n">
        <v>46308</v>
      </c>
      <c r="M1" s="5" t="str">
        <f aca="false">"실적 미입력 "&amp;(83-COUNT(T6:T88))&amp;" / 83건"</f>
        <v>실적 미입력 0 / 83건</v>
      </c>
      <c r="N1" s="5"/>
      <c r="O1" s="5"/>
      <c r="P1" s="5"/>
      <c r="Q1" s="5"/>
      <c r="R1" s="5"/>
      <c r="S1" s="5"/>
      <c r="T1" s="2" t="s">
        <v>2</v>
      </c>
      <c r="U1" s="6" t="n">
        <f aca="false">IF(OR(U5="",S5=0),"",U5/S5)</f>
        <v>0.850182925940502</v>
      </c>
      <c r="V1" s="2" t="str">
        <f aca="false">IF(U1="","미확인",IF(U1&lt;0.75,"위험",IF(U1&lt;0.85,"경고",IF(U1&lt;0.95,"주의","양호"))))</f>
        <v>주의</v>
      </c>
      <c r="W1" s="2"/>
      <c r="X1" s="2"/>
      <c r="Y1" s="2"/>
      <c r="Z1" s="2"/>
      <c r="AA1" s="2"/>
      <c r="AB1" s="2"/>
      <c r="AC1" s="2"/>
      <c r="AD1" s="2"/>
      <c r="AE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4" hidden="false" customHeight="true" outlineLevel="0" collapsed="false">
      <c r="A3" s="2"/>
      <c r="B3" s="7" t="s">
        <v>3</v>
      </c>
      <c r="C3" s="7"/>
      <c r="D3" s="7"/>
      <c r="E3" s="7"/>
      <c r="F3" s="7" t="s">
        <v>4</v>
      </c>
      <c r="G3" s="7"/>
      <c r="H3" s="7" t="s">
        <v>5</v>
      </c>
      <c r="I3" s="7"/>
      <c r="J3" s="7" t="s">
        <v>6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7" t="s">
        <v>16</v>
      </c>
      <c r="U3" s="7" t="s">
        <v>17</v>
      </c>
      <c r="V3" s="7"/>
      <c r="W3" s="8" t="s">
        <v>18</v>
      </c>
      <c r="X3" s="8"/>
      <c r="Y3" s="8"/>
      <c r="Z3" s="8"/>
      <c r="AA3" s="8"/>
      <c r="AB3" s="8"/>
      <c r="AC3" s="8"/>
      <c r="AD3" s="8"/>
      <c r="AE3" s="8"/>
      <c r="AF3" s="9" t="s">
        <v>19</v>
      </c>
      <c r="AG3" s="9"/>
      <c r="AH3" s="9"/>
    </row>
    <row r="4" customFormat="false" ht="24" hidden="false" customHeight="true" outlineLevel="0" collapsed="false">
      <c r="A4" s="2"/>
      <c r="B4" s="7"/>
      <c r="C4" s="7"/>
      <c r="D4" s="7"/>
      <c r="E4" s="7"/>
      <c r="F4" s="7"/>
      <c r="G4" s="7"/>
      <c r="H4" s="7" t="s">
        <v>20</v>
      </c>
      <c r="I4" s="7" t="s">
        <v>21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 t="s">
        <v>22</v>
      </c>
      <c r="V4" s="7" t="s">
        <v>23</v>
      </c>
      <c r="W4" s="8" t="s">
        <v>24</v>
      </c>
      <c r="X4" s="8"/>
      <c r="Y4" s="8"/>
      <c r="Z4" s="8"/>
      <c r="AA4" s="8"/>
      <c r="AB4" s="8"/>
      <c r="AC4" s="8"/>
      <c r="AD4" s="8"/>
      <c r="AE4" s="8"/>
      <c r="AF4" s="9" t="s">
        <v>25</v>
      </c>
      <c r="AG4" s="9" t="s">
        <v>26</v>
      </c>
      <c r="AH4" s="9" t="s">
        <v>27</v>
      </c>
    </row>
    <row r="5" customFormat="false" ht="24.75" hidden="false" customHeight="true" outlineLevel="0" collapsed="false">
      <c r="A5" s="2"/>
      <c r="B5" s="7" t="s">
        <v>28</v>
      </c>
      <c r="C5" s="7" t="s">
        <v>29</v>
      </c>
      <c r="D5" s="7" t="s">
        <v>30</v>
      </c>
      <c r="E5" s="7"/>
      <c r="F5" s="7"/>
      <c r="G5" s="7"/>
      <c r="H5" s="7"/>
      <c r="I5" s="7"/>
      <c r="J5" s="7"/>
      <c r="K5" s="10" t="n">
        <f aca="false">MIN(K6:K88)</f>
        <v>46301</v>
      </c>
      <c r="L5" s="10" t="n">
        <f aca="false">MAX(L6:L88)</f>
        <v>46309</v>
      </c>
      <c r="M5" s="10" t="n">
        <f aca="false">IF(COUNT(M6:M88)=0,"",MIN(M6:M88))</f>
        <v>46301</v>
      </c>
      <c r="N5" s="10" t="n">
        <f aca="false">IF(COUNT(N6:N88)=0,"",MAX(N6:N88))</f>
        <v>46308</v>
      </c>
      <c r="O5" s="11" t="n">
        <f aca="false">SUM(O6:O88)</f>
        <v>83</v>
      </c>
      <c r="P5" s="11" t="n">
        <f aca="false">IF(COUNT(P6:P88)=0,"",SUM(P6:P88))</f>
        <v>78</v>
      </c>
      <c r="Q5" s="11" t="n">
        <f aca="false">SUM(Q6:Q88)</f>
        <v>69</v>
      </c>
      <c r="R5" s="11" t="n">
        <f aca="false">IF(COUNT(R6:R88)=0,"",SUM(R6:R88))</f>
        <v>84</v>
      </c>
      <c r="S5" s="12" t="n">
        <f aca="false">AVERAGE(S6:S10)*C6+AVERAGE(S11:S22)*C11+AVERAGE(S23:S39)*C23+AVERAGE(S40:S63)*C40+AVERAGE(S64:S74)*C64+AVERAGE(S75:S88)*C75</f>
        <v>0.818181818181818</v>
      </c>
      <c r="T5" s="12" t="n">
        <f aca="false">IF(COUNT(T6:T88)&lt;83,"",AVERAGE(T6:T88))</f>
        <v>0.731927710843374</v>
      </c>
      <c r="U5" s="12" t="n">
        <f aca="false">IF(COUNT(T6:T88)&lt;83,"",AVERAGE(T6:T10)*C6+AVERAGE(T11:T22)*C11+AVERAGE(T23:T39)*C23+AVERAGE(T40:T63)*C40+AVERAGE(T64:T74)*C64+AVERAGE(T75:T88)*C75)</f>
        <v>0.695604212133138</v>
      </c>
      <c r="V5" s="12" t="n">
        <f aca="false">IF(U5="","",U5-S5)</f>
        <v>-0.12257760604868</v>
      </c>
      <c r="W5" s="13" t="n">
        <v>46301</v>
      </c>
      <c r="X5" s="13" t="n">
        <v>46302</v>
      </c>
      <c r="Y5" s="13" t="n">
        <v>46303</v>
      </c>
      <c r="Z5" s="13" t="n">
        <v>46304</v>
      </c>
      <c r="AA5" s="13" t="n">
        <v>46305</v>
      </c>
      <c r="AB5" s="13" t="n">
        <v>46306</v>
      </c>
      <c r="AC5" s="13" t="n">
        <v>46307</v>
      </c>
      <c r="AD5" s="13" t="n">
        <v>46308</v>
      </c>
      <c r="AE5" s="13" t="n">
        <v>46309</v>
      </c>
      <c r="AF5" s="9"/>
      <c r="AG5" s="9"/>
      <c r="AH5" s="9"/>
    </row>
    <row r="6" customFormat="false" ht="69.75" hidden="false" customHeight="true" outlineLevel="0" collapsed="false">
      <c r="A6" s="2"/>
      <c r="B6" s="14" t="n">
        <v>1</v>
      </c>
      <c r="C6" s="15" t="n">
        <v>0.0909090909090909</v>
      </c>
      <c r="D6" s="16" t="s">
        <v>31</v>
      </c>
      <c r="E6" s="16"/>
      <c r="F6" s="17" t="s">
        <v>32</v>
      </c>
      <c r="G6" s="17"/>
      <c r="H6" s="17" t="s">
        <v>33</v>
      </c>
      <c r="I6" s="17" t="s">
        <v>34</v>
      </c>
      <c r="J6" s="17" t="s">
        <v>35</v>
      </c>
      <c r="K6" s="18" t="n">
        <v>46301</v>
      </c>
      <c r="L6" s="18" t="n">
        <v>46301</v>
      </c>
      <c r="M6" s="19" t="n">
        <v>46301</v>
      </c>
      <c r="N6" s="19" t="n">
        <v>46307</v>
      </c>
      <c r="O6" s="20" t="n">
        <f aca="false">IF(OR(K6="",L6=""),"",IF(L6&lt;K6,"날짜 확인",NETWORKDAYS(K6,L6,휴일!$A$2:$A$2)))</f>
        <v>1</v>
      </c>
      <c r="P6" s="20" t="n">
        <f aca="false">IF(OR(M6="",N6=""),"",IF(N6&lt;M6,"날짜 확인",NETWORKDAYS(M6,N6,휴일!$A$2:$A$2)))</f>
        <v>4</v>
      </c>
      <c r="Q6" s="20" t="n">
        <f aca="false">IF(O6="","",IF($L$1&lt;K6,0,NETWORKDAYS(K6,MIN($L$1,L6),휴일!$A$2:$A$2)))</f>
        <v>1</v>
      </c>
      <c r="R6" s="20" t="n">
        <f aca="false">IF(M6="","",IF($L$1&lt;M6,0,NETWORKDAYS(M6,IF(N6="",$L$1,MIN($L$1,N6)),휴일!$A$2:$A$2)))</f>
        <v>4</v>
      </c>
      <c r="S6" s="21" t="n">
        <f aca="false">IF(O6="","",IF(O6=0,0,Q6/O6))</f>
        <v>1</v>
      </c>
      <c r="T6" s="22" t="n">
        <f aca="false">IF(OR(AND(AG6&lt;&gt;"",OR(NOT(ISNUMBER(AG6)),AG6&lt;=0)),AND(AH6&lt;&gt;"",OR(NOT(ISNUMBER(AH6)),AH6&lt;0)),AND(ISNUMBER(AG6),ISNUMBER(AH6),AH6&gt;AG6)),"수량 확인",IF(AF6="완료",1,IF(AF6="미착수",0,IF(AND(ISNUMBER(AG6),ISNUMBER(AH6)),AH6/AG6,""))))</f>
        <v>1</v>
      </c>
      <c r="U6" s="21" t="n">
        <f aca="false">IF(T6="","",T6)</f>
        <v>1</v>
      </c>
      <c r="V6" s="21" t="n">
        <f aca="false">IF(OR(U6="",S6=""),"",U6-S6)</f>
        <v>0</v>
      </c>
      <c r="W6" s="23" t="n">
        <f aca="false">IF(AND(ISNUMBER($M6),W$5&gt;=$M6,W$5&lt;=IF($N6="",$L$1,$N6),WEEKDAY(W$5,2)&lt;6,COUNTIF(휴일!$A$2:$A$2,W$5)=0),2,IF(AND(ISNUMBER($K6),W$5&gt;=$K6,W$5&lt;=$L6,WEEKDAY(W$5,2)&lt;6,COUNTIF(휴일!$A$2:$A$2,W$5)=0),1,""))</f>
        <v>2</v>
      </c>
      <c r="X6" s="23" t="n">
        <f aca="false">IF(AND(ISNUMBER($M6),X$5&gt;=$M6,X$5&lt;=IF($N6="",$L$1,$N6),WEEKDAY(X$5,2)&lt;6,COUNTIF(휴일!$A$2:$A$2,X$5)=0),2,IF(AND(ISNUMBER($K6),X$5&gt;=$K6,X$5&lt;=$L6,WEEKDAY(X$5,2)&lt;6,COUNTIF(휴일!$A$2:$A$2,X$5)=0),1,""))</f>
        <v>2</v>
      </c>
      <c r="Y6" s="23" t="n">
        <f aca="false">IF(AND(ISNUMBER($M6),Y$5&gt;=$M6,Y$5&lt;=IF($N6="",$L$1,$N6),WEEKDAY(Y$5,2)&lt;6,COUNTIF(휴일!$A$2:$A$2,Y$5)=0),2,IF(AND(ISNUMBER($K6),Y$5&gt;=$K6,Y$5&lt;=$L6,WEEKDAY(Y$5,2)&lt;6,COUNTIF(휴일!$A$2:$A$2,Y$5)=0),1,""))</f>
        <v>2</v>
      </c>
      <c r="Z6" s="24" t="str">
        <f aca="false">IF(AND(ISNUMBER($M6),Z$5&gt;=$M6,Z$5&lt;=IF($N6="",$L$1,$N6),WEEKDAY(Z$5,2)&lt;6,COUNTIF(휴일!$A$2:$A$2,Z$5)=0),2,IF(AND(ISNUMBER($K6),Z$5&gt;=$K6,Z$5&lt;=$L6,WEEKDAY(Z$5,2)&lt;6,COUNTIF(휴일!$A$2:$A$2,Z$5)=0),1,""))</f>
        <v/>
      </c>
      <c r="AA6" s="24" t="str">
        <f aca="false">IF(AND(ISNUMBER($M6),AA$5&gt;=$M6,AA$5&lt;=IF($N6="",$L$1,$N6),WEEKDAY(AA$5,2)&lt;6,COUNTIF(휴일!$A$2:$A$2,AA$5)=0),2,IF(AND(ISNUMBER($K6),AA$5&gt;=$K6,AA$5&lt;=$L6,WEEKDAY(AA$5,2)&lt;6,COUNTIF(휴일!$A$2:$A$2,AA$5)=0),1,""))</f>
        <v/>
      </c>
      <c r="AB6" s="24" t="str">
        <f aca="false">IF(AND(ISNUMBER($M6),AB$5&gt;=$M6,AB$5&lt;=IF($N6="",$L$1,$N6),WEEKDAY(AB$5,2)&lt;6,COUNTIF(휴일!$A$2:$A$2,AB$5)=0),2,IF(AND(ISNUMBER($K6),AB$5&gt;=$K6,AB$5&lt;=$L6,WEEKDAY(AB$5,2)&lt;6,COUNTIF(휴일!$A$2:$A$2,AB$5)=0),1,""))</f>
        <v/>
      </c>
      <c r="AC6" s="23" t="n">
        <f aca="false">IF(AND(ISNUMBER($M6),AC$5&gt;=$M6,AC$5&lt;=IF($N6="",$L$1,$N6),WEEKDAY(AC$5,2)&lt;6,COUNTIF(휴일!$A$2:$A$2,AC$5)=0),2,IF(AND(ISNUMBER($K6),AC$5&gt;=$K6,AC$5&lt;=$L6,WEEKDAY(AC$5,2)&lt;6,COUNTIF(휴일!$A$2:$A$2,AC$5)=0),1,""))</f>
        <v>2</v>
      </c>
      <c r="AD6" s="23" t="str">
        <f aca="false">IF(AND(ISNUMBER($M6),AD$5&gt;=$M6,AD$5&lt;=IF($N6="",$L$1,$N6),WEEKDAY(AD$5,2)&lt;6,COUNTIF(휴일!$A$2:$A$2,AD$5)=0),2,IF(AND(ISNUMBER($K6),AD$5&gt;=$K6,AD$5&lt;=$L6,WEEKDAY(AD$5,2)&lt;6,COUNTIF(휴일!$A$2:$A$2,AD$5)=0),1,""))</f>
        <v/>
      </c>
      <c r="AE6" s="23" t="str">
        <f aca="false">IF(AND(ISNUMBER($M6),AE$5&gt;=$M6,AE$5&lt;=IF($N6="",$L$1,$N6),WEEKDAY(AE$5,2)&lt;6,COUNTIF(휴일!$A$2:$A$2,AE$5)=0),2,IF(AND(ISNUMBER($K6),AE$5&gt;=$K6,AE$5&lt;=$L6,WEEKDAY(AE$5,2)&lt;6,COUNTIF(휴일!$A$2:$A$2,AE$5)=0),1,""))</f>
        <v/>
      </c>
      <c r="AF6" s="25" t="s">
        <v>36</v>
      </c>
      <c r="AG6" s="26"/>
      <c r="AH6" s="26"/>
    </row>
    <row r="7" customFormat="false" ht="54" hidden="false" customHeight="true" outlineLevel="0" collapsed="false">
      <c r="A7" s="2"/>
      <c r="B7" s="14"/>
      <c r="C7" s="14"/>
      <c r="D7" s="16"/>
      <c r="E7" s="16"/>
      <c r="F7" s="27" t="s">
        <v>37</v>
      </c>
      <c r="G7" s="27"/>
      <c r="H7" s="27" t="s">
        <v>34</v>
      </c>
      <c r="I7" s="27" t="s">
        <v>33</v>
      </c>
      <c r="J7" s="27" t="s">
        <v>38</v>
      </c>
      <c r="K7" s="28" t="n">
        <v>46301</v>
      </c>
      <c r="L7" s="28" t="n">
        <v>46301</v>
      </c>
      <c r="M7" s="19" t="n">
        <v>46301</v>
      </c>
      <c r="N7" s="19" t="n">
        <v>46303</v>
      </c>
      <c r="O7" s="29" t="n">
        <f aca="false">IF(OR(K7="",L7=""),"",IF(L7&lt;K7,"날짜 확인",NETWORKDAYS(K7,L7,휴일!$A$2:$A$2)))</f>
        <v>1</v>
      </c>
      <c r="P7" s="29" t="n">
        <f aca="false">IF(OR(M7="",N7=""),"",IF(N7&lt;M7,"날짜 확인",NETWORKDAYS(M7,N7,휴일!$A$2:$A$2)))</f>
        <v>3</v>
      </c>
      <c r="Q7" s="29" t="n">
        <f aca="false">IF(O7="","",IF($L$1&lt;K7,0,NETWORKDAYS(K7,MIN($L$1,L7),휴일!$A$2:$A$2)))</f>
        <v>1</v>
      </c>
      <c r="R7" s="29" t="n">
        <f aca="false">IF(M7="","",IF($L$1&lt;M7,0,NETWORKDAYS(M7,IF(N7="",$L$1,MIN($L$1,N7)),휴일!$A$2:$A$2)))</f>
        <v>3</v>
      </c>
      <c r="S7" s="30" t="n">
        <f aca="false">IF(O7="","",IF(O7=0,0,Q7/O7))</f>
        <v>1</v>
      </c>
      <c r="T7" s="31" t="n">
        <f aca="false">IF(OR(AND(AG7&lt;&gt;"",OR(NOT(ISNUMBER(AG7)),AG7&lt;=0)),AND(AH7&lt;&gt;"",OR(NOT(ISNUMBER(AH7)),AH7&lt;0)),AND(ISNUMBER(AG7),ISNUMBER(AH7),AH7&gt;AG7)),"수량 확인",IF(AF7="완료",1,IF(AF7="미착수",0,IF(AND(ISNUMBER(AG7),ISNUMBER(AH7)),AH7/AG7,""))))</f>
        <v>1</v>
      </c>
      <c r="U7" s="30" t="n">
        <f aca="false">IF(T7="","",T7)</f>
        <v>1</v>
      </c>
      <c r="V7" s="30" t="n">
        <f aca="false">IF(OR(U7="",S7=""),"",U7-S7)</f>
        <v>0</v>
      </c>
      <c r="W7" s="32" t="n">
        <f aca="false">IF(AND(ISNUMBER($M7),W$5&gt;=$M7,W$5&lt;=IF($N7="",$L$1,$N7),WEEKDAY(W$5,2)&lt;6,COUNTIF(휴일!$A$2:$A$2,W$5)=0),2,IF(AND(ISNUMBER($K7),W$5&gt;=$K7,W$5&lt;=$L7,WEEKDAY(W$5,2)&lt;6,COUNTIF(휴일!$A$2:$A$2,W$5)=0),1,""))</f>
        <v>2</v>
      </c>
      <c r="X7" s="32" t="n">
        <f aca="false">IF(AND(ISNUMBER($M7),X$5&gt;=$M7,X$5&lt;=IF($N7="",$L$1,$N7),WEEKDAY(X$5,2)&lt;6,COUNTIF(휴일!$A$2:$A$2,X$5)=0),2,IF(AND(ISNUMBER($K7),X$5&gt;=$K7,X$5&lt;=$L7,WEEKDAY(X$5,2)&lt;6,COUNTIF(휴일!$A$2:$A$2,X$5)=0),1,""))</f>
        <v>2</v>
      </c>
      <c r="Y7" s="32" t="n">
        <f aca="false">IF(AND(ISNUMBER($M7),Y$5&gt;=$M7,Y$5&lt;=IF($N7="",$L$1,$N7),WEEKDAY(Y$5,2)&lt;6,COUNTIF(휴일!$A$2:$A$2,Y$5)=0),2,IF(AND(ISNUMBER($K7),Y$5&gt;=$K7,Y$5&lt;=$L7,WEEKDAY(Y$5,2)&lt;6,COUNTIF(휴일!$A$2:$A$2,Y$5)=0),1,""))</f>
        <v>2</v>
      </c>
      <c r="Z7" s="33" t="str">
        <f aca="false">IF(AND(ISNUMBER($M7),Z$5&gt;=$M7,Z$5&lt;=IF($N7="",$L$1,$N7),WEEKDAY(Z$5,2)&lt;6,COUNTIF(휴일!$A$2:$A$2,Z$5)=0),2,IF(AND(ISNUMBER($K7),Z$5&gt;=$K7,Z$5&lt;=$L7,WEEKDAY(Z$5,2)&lt;6,COUNTIF(휴일!$A$2:$A$2,Z$5)=0),1,""))</f>
        <v/>
      </c>
      <c r="AA7" s="33" t="str">
        <f aca="false">IF(AND(ISNUMBER($M7),AA$5&gt;=$M7,AA$5&lt;=IF($N7="",$L$1,$N7),WEEKDAY(AA$5,2)&lt;6,COUNTIF(휴일!$A$2:$A$2,AA$5)=0),2,IF(AND(ISNUMBER($K7),AA$5&gt;=$K7,AA$5&lt;=$L7,WEEKDAY(AA$5,2)&lt;6,COUNTIF(휴일!$A$2:$A$2,AA$5)=0),1,""))</f>
        <v/>
      </c>
      <c r="AB7" s="33" t="str">
        <f aca="false">IF(AND(ISNUMBER($M7),AB$5&gt;=$M7,AB$5&lt;=IF($N7="",$L$1,$N7),WEEKDAY(AB$5,2)&lt;6,COUNTIF(휴일!$A$2:$A$2,AB$5)=0),2,IF(AND(ISNUMBER($K7),AB$5&gt;=$K7,AB$5&lt;=$L7,WEEKDAY(AB$5,2)&lt;6,COUNTIF(휴일!$A$2:$A$2,AB$5)=0),1,""))</f>
        <v/>
      </c>
      <c r="AC7" s="32" t="str">
        <f aca="false">IF(AND(ISNUMBER($M7),AC$5&gt;=$M7,AC$5&lt;=IF($N7="",$L$1,$N7),WEEKDAY(AC$5,2)&lt;6,COUNTIF(휴일!$A$2:$A$2,AC$5)=0),2,IF(AND(ISNUMBER($K7),AC$5&gt;=$K7,AC$5&lt;=$L7,WEEKDAY(AC$5,2)&lt;6,COUNTIF(휴일!$A$2:$A$2,AC$5)=0),1,""))</f>
        <v/>
      </c>
      <c r="AD7" s="32" t="str">
        <f aca="false">IF(AND(ISNUMBER($M7),AD$5&gt;=$M7,AD$5&lt;=IF($N7="",$L$1,$N7),WEEKDAY(AD$5,2)&lt;6,COUNTIF(휴일!$A$2:$A$2,AD$5)=0),2,IF(AND(ISNUMBER($K7),AD$5&gt;=$K7,AD$5&lt;=$L7,WEEKDAY(AD$5,2)&lt;6,COUNTIF(휴일!$A$2:$A$2,AD$5)=0),1,""))</f>
        <v/>
      </c>
      <c r="AE7" s="32" t="str">
        <f aca="false">IF(AND(ISNUMBER($M7),AE$5&gt;=$M7,AE$5&lt;=IF($N7="",$L$1,$N7),WEEKDAY(AE$5,2)&lt;6,COUNTIF(휴일!$A$2:$A$2,AE$5)=0),2,IF(AND(ISNUMBER($K7),AE$5&gt;=$K7,AE$5&lt;=$L7,WEEKDAY(AE$5,2)&lt;6,COUNTIF(휴일!$A$2:$A$2,AE$5)=0),1,""))</f>
        <v/>
      </c>
      <c r="AF7" s="25" t="s">
        <v>36</v>
      </c>
      <c r="AG7" s="26"/>
      <c r="AH7" s="26"/>
    </row>
    <row r="8" customFormat="false" ht="54" hidden="false" customHeight="true" outlineLevel="0" collapsed="false">
      <c r="A8" s="2"/>
      <c r="B8" s="14"/>
      <c r="C8" s="14"/>
      <c r="D8" s="16"/>
      <c r="E8" s="16"/>
      <c r="F8" s="27" t="s">
        <v>39</v>
      </c>
      <c r="G8" s="27"/>
      <c r="H8" s="27" t="s">
        <v>33</v>
      </c>
      <c r="I8" s="27" t="s">
        <v>34</v>
      </c>
      <c r="J8" s="27" t="s">
        <v>40</v>
      </c>
      <c r="K8" s="28" t="n">
        <v>46301</v>
      </c>
      <c r="L8" s="28" t="n">
        <v>46301</v>
      </c>
      <c r="M8" s="19" t="n">
        <v>46301</v>
      </c>
      <c r="N8" s="19" t="n">
        <v>46302</v>
      </c>
      <c r="O8" s="29" t="n">
        <f aca="false">IF(OR(K8="",L8=""),"",IF(L8&lt;K8,"날짜 확인",NETWORKDAYS(K8,L8,휴일!$A$2:$A$2)))</f>
        <v>1</v>
      </c>
      <c r="P8" s="29" t="n">
        <f aca="false">IF(OR(M8="",N8=""),"",IF(N8&lt;M8,"날짜 확인",NETWORKDAYS(M8,N8,휴일!$A$2:$A$2)))</f>
        <v>2</v>
      </c>
      <c r="Q8" s="29" t="n">
        <f aca="false">IF(O8="","",IF($L$1&lt;K8,0,NETWORKDAYS(K8,MIN($L$1,L8),휴일!$A$2:$A$2)))</f>
        <v>1</v>
      </c>
      <c r="R8" s="29" t="n">
        <f aca="false">IF(M8="","",IF($L$1&lt;M8,0,NETWORKDAYS(M8,IF(N8="",$L$1,MIN($L$1,N8)),휴일!$A$2:$A$2)))</f>
        <v>2</v>
      </c>
      <c r="S8" s="30" t="n">
        <f aca="false">IF(O8="","",IF(O8=0,0,Q8/O8))</f>
        <v>1</v>
      </c>
      <c r="T8" s="31" t="n">
        <f aca="false">IF(OR(AND(AG8&lt;&gt;"",OR(NOT(ISNUMBER(AG8)),AG8&lt;=0)),AND(AH8&lt;&gt;"",OR(NOT(ISNUMBER(AH8)),AH8&lt;0)),AND(ISNUMBER(AG8),ISNUMBER(AH8),AH8&gt;AG8)),"수량 확인",IF(AF8="완료",1,IF(AF8="미착수",0,IF(AND(ISNUMBER(AG8),ISNUMBER(AH8)),AH8/AG8,""))))</f>
        <v>1</v>
      </c>
      <c r="U8" s="30" t="n">
        <f aca="false">IF(T8="","",T8)</f>
        <v>1</v>
      </c>
      <c r="V8" s="30" t="n">
        <f aca="false">IF(OR(U8="",S8=""),"",U8-S8)</f>
        <v>0</v>
      </c>
      <c r="W8" s="32" t="n">
        <f aca="false">IF(AND(ISNUMBER($M8),W$5&gt;=$M8,W$5&lt;=IF($N8="",$L$1,$N8),WEEKDAY(W$5,2)&lt;6,COUNTIF(휴일!$A$2:$A$2,W$5)=0),2,IF(AND(ISNUMBER($K8),W$5&gt;=$K8,W$5&lt;=$L8,WEEKDAY(W$5,2)&lt;6,COUNTIF(휴일!$A$2:$A$2,W$5)=0),1,""))</f>
        <v>2</v>
      </c>
      <c r="X8" s="32" t="n">
        <f aca="false">IF(AND(ISNUMBER($M8),X$5&gt;=$M8,X$5&lt;=IF($N8="",$L$1,$N8),WEEKDAY(X$5,2)&lt;6,COUNTIF(휴일!$A$2:$A$2,X$5)=0),2,IF(AND(ISNUMBER($K8),X$5&gt;=$K8,X$5&lt;=$L8,WEEKDAY(X$5,2)&lt;6,COUNTIF(휴일!$A$2:$A$2,X$5)=0),1,""))</f>
        <v>2</v>
      </c>
      <c r="Y8" s="32" t="str">
        <f aca="false">IF(AND(ISNUMBER($M8),Y$5&gt;=$M8,Y$5&lt;=IF($N8="",$L$1,$N8),WEEKDAY(Y$5,2)&lt;6,COUNTIF(휴일!$A$2:$A$2,Y$5)=0),2,IF(AND(ISNUMBER($K8),Y$5&gt;=$K8,Y$5&lt;=$L8,WEEKDAY(Y$5,2)&lt;6,COUNTIF(휴일!$A$2:$A$2,Y$5)=0),1,""))</f>
        <v/>
      </c>
      <c r="Z8" s="33" t="str">
        <f aca="false">IF(AND(ISNUMBER($M8),Z$5&gt;=$M8,Z$5&lt;=IF($N8="",$L$1,$N8),WEEKDAY(Z$5,2)&lt;6,COUNTIF(휴일!$A$2:$A$2,Z$5)=0),2,IF(AND(ISNUMBER($K8),Z$5&gt;=$K8,Z$5&lt;=$L8,WEEKDAY(Z$5,2)&lt;6,COUNTIF(휴일!$A$2:$A$2,Z$5)=0),1,""))</f>
        <v/>
      </c>
      <c r="AA8" s="33" t="str">
        <f aca="false">IF(AND(ISNUMBER($M8),AA$5&gt;=$M8,AA$5&lt;=IF($N8="",$L$1,$N8),WEEKDAY(AA$5,2)&lt;6,COUNTIF(휴일!$A$2:$A$2,AA$5)=0),2,IF(AND(ISNUMBER($K8),AA$5&gt;=$K8,AA$5&lt;=$L8,WEEKDAY(AA$5,2)&lt;6,COUNTIF(휴일!$A$2:$A$2,AA$5)=0),1,""))</f>
        <v/>
      </c>
      <c r="AB8" s="33" t="str">
        <f aca="false">IF(AND(ISNUMBER($M8),AB$5&gt;=$M8,AB$5&lt;=IF($N8="",$L$1,$N8),WEEKDAY(AB$5,2)&lt;6,COUNTIF(휴일!$A$2:$A$2,AB$5)=0),2,IF(AND(ISNUMBER($K8),AB$5&gt;=$K8,AB$5&lt;=$L8,WEEKDAY(AB$5,2)&lt;6,COUNTIF(휴일!$A$2:$A$2,AB$5)=0),1,""))</f>
        <v/>
      </c>
      <c r="AC8" s="32" t="str">
        <f aca="false">IF(AND(ISNUMBER($M8),AC$5&gt;=$M8,AC$5&lt;=IF($N8="",$L$1,$N8),WEEKDAY(AC$5,2)&lt;6,COUNTIF(휴일!$A$2:$A$2,AC$5)=0),2,IF(AND(ISNUMBER($K8),AC$5&gt;=$K8,AC$5&lt;=$L8,WEEKDAY(AC$5,2)&lt;6,COUNTIF(휴일!$A$2:$A$2,AC$5)=0),1,""))</f>
        <v/>
      </c>
      <c r="AD8" s="32" t="str">
        <f aca="false">IF(AND(ISNUMBER($M8),AD$5&gt;=$M8,AD$5&lt;=IF($N8="",$L$1,$N8),WEEKDAY(AD$5,2)&lt;6,COUNTIF(휴일!$A$2:$A$2,AD$5)=0),2,IF(AND(ISNUMBER($K8),AD$5&gt;=$K8,AD$5&lt;=$L8,WEEKDAY(AD$5,2)&lt;6,COUNTIF(휴일!$A$2:$A$2,AD$5)=0),1,""))</f>
        <v/>
      </c>
      <c r="AE8" s="32" t="str">
        <f aca="false">IF(AND(ISNUMBER($M8),AE$5&gt;=$M8,AE$5&lt;=IF($N8="",$L$1,$N8),WEEKDAY(AE$5,2)&lt;6,COUNTIF(휴일!$A$2:$A$2,AE$5)=0),2,IF(AND(ISNUMBER($K8),AE$5&gt;=$K8,AE$5&lt;=$L8,WEEKDAY(AE$5,2)&lt;6,COUNTIF(휴일!$A$2:$A$2,AE$5)=0),1,""))</f>
        <v/>
      </c>
      <c r="AF8" s="25" t="s">
        <v>36</v>
      </c>
      <c r="AG8" s="26"/>
      <c r="AH8" s="26"/>
    </row>
    <row r="9" customFormat="false" ht="54" hidden="false" customHeight="true" outlineLevel="0" collapsed="false">
      <c r="A9" s="2"/>
      <c r="B9" s="14"/>
      <c r="C9" s="14"/>
      <c r="D9" s="16"/>
      <c r="E9" s="16"/>
      <c r="F9" s="27" t="s">
        <v>41</v>
      </c>
      <c r="G9" s="27"/>
      <c r="H9" s="27" t="s">
        <v>34</v>
      </c>
      <c r="I9" s="27" t="s">
        <v>33</v>
      </c>
      <c r="J9" s="27" t="s">
        <v>42</v>
      </c>
      <c r="K9" s="28" t="n">
        <v>46301</v>
      </c>
      <c r="L9" s="28" t="n">
        <v>46301</v>
      </c>
      <c r="M9" s="19" t="n">
        <v>46301</v>
      </c>
      <c r="N9" s="19" t="n">
        <v>46302</v>
      </c>
      <c r="O9" s="29" t="n">
        <f aca="false">IF(OR(K9="",L9=""),"",IF(L9&lt;K9,"날짜 확인",NETWORKDAYS(K9,L9,휴일!$A$2:$A$2)))</f>
        <v>1</v>
      </c>
      <c r="P9" s="29" t="n">
        <f aca="false">IF(OR(M9="",N9=""),"",IF(N9&lt;M9,"날짜 확인",NETWORKDAYS(M9,N9,휴일!$A$2:$A$2)))</f>
        <v>2</v>
      </c>
      <c r="Q9" s="29" t="n">
        <f aca="false">IF(O9="","",IF($L$1&lt;K9,0,NETWORKDAYS(K9,MIN($L$1,L9),휴일!$A$2:$A$2)))</f>
        <v>1</v>
      </c>
      <c r="R9" s="29" t="n">
        <f aca="false">IF(M9="","",IF($L$1&lt;M9,0,NETWORKDAYS(M9,IF(N9="",$L$1,MIN($L$1,N9)),휴일!$A$2:$A$2)))</f>
        <v>2</v>
      </c>
      <c r="S9" s="30" t="n">
        <f aca="false">IF(O9="","",IF(O9=0,0,Q9/O9))</f>
        <v>1</v>
      </c>
      <c r="T9" s="31" t="n">
        <f aca="false">IF(OR(AND(AG9&lt;&gt;"",OR(NOT(ISNUMBER(AG9)),AG9&lt;=0)),AND(AH9&lt;&gt;"",OR(NOT(ISNUMBER(AH9)),AH9&lt;0)),AND(ISNUMBER(AG9),ISNUMBER(AH9),AH9&gt;AG9)),"수량 확인",IF(AF9="완료",1,IF(AF9="미착수",0,IF(AND(ISNUMBER(AG9),ISNUMBER(AH9)),AH9/AG9,""))))</f>
        <v>1</v>
      </c>
      <c r="U9" s="30" t="n">
        <f aca="false">IF(T9="","",T9)</f>
        <v>1</v>
      </c>
      <c r="V9" s="30" t="n">
        <f aca="false">IF(OR(U9="",S9=""),"",U9-S9)</f>
        <v>0</v>
      </c>
      <c r="W9" s="32" t="n">
        <f aca="false">IF(AND(ISNUMBER($M9),W$5&gt;=$M9,W$5&lt;=IF($N9="",$L$1,$N9),WEEKDAY(W$5,2)&lt;6,COUNTIF(휴일!$A$2:$A$2,W$5)=0),2,IF(AND(ISNUMBER($K9),W$5&gt;=$K9,W$5&lt;=$L9,WEEKDAY(W$5,2)&lt;6,COUNTIF(휴일!$A$2:$A$2,W$5)=0),1,""))</f>
        <v>2</v>
      </c>
      <c r="X9" s="32" t="n">
        <f aca="false">IF(AND(ISNUMBER($M9),X$5&gt;=$M9,X$5&lt;=IF($N9="",$L$1,$N9),WEEKDAY(X$5,2)&lt;6,COUNTIF(휴일!$A$2:$A$2,X$5)=0),2,IF(AND(ISNUMBER($K9),X$5&gt;=$K9,X$5&lt;=$L9,WEEKDAY(X$5,2)&lt;6,COUNTIF(휴일!$A$2:$A$2,X$5)=0),1,""))</f>
        <v>2</v>
      </c>
      <c r="Y9" s="32" t="str">
        <f aca="false">IF(AND(ISNUMBER($M9),Y$5&gt;=$M9,Y$5&lt;=IF($N9="",$L$1,$N9),WEEKDAY(Y$5,2)&lt;6,COUNTIF(휴일!$A$2:$A$2,Y$5)=0),2,IF(AND(ISNUMBER($K9),Y$5&gt;=$K9,Y$5&lt;=$L9,WEEKDAY(Y$5,2)&lt;6,COUNTIF(휴일!$A$2:$A$2,Y$5)=0),1,""))</f>
        <v/>
      </c>
      <c r="Z9" s="33" t="str">
        <f aca="false">IF(AND(ISNUMBER($M9),Z$5&gt;=$M9,Z$5&lt;=IF($N9="",$L$1,$N9),WEEKDAY(Z$5,2)&lt;6,COUNTIF(휴일!$A$2:$A$2,Z$5)=0),2,IF(AND(ISNUMBER($K9),Z$5&gt;=$K9,Z$5&lt;=$L9,WEEKDAY(Z$5,2)&lt;6,COUNTIF(휴일!$A$2:$A$2,Z$5)=0),1,""))</f>
        <v/>
      </c>
      <c r="AA9" s="33" t="str">
        <f aca="false">IF(AND(ISNUMBER($M9),AA$5&gt;=$M9,AA$5&lt;=IF($N9="",$L$1,$N9),WEEKDAY(AA$5,2)&lt;6,COUNTIF(휴일!$A$2:$A$2,AA$5)=0),2,IF(AND(ISNUMBER($K9),AA$5&gt;=$K9,AA$5&lt;=$L9,WEEKDAY(AA$5,2)&lt;6,COUNTIF(휴일!$A$2:$A$2,AA$5)=0),1,""))</f>
        <v/>
      </c>
      <c r="AB9" s="33" t="str">
        <f aca="false">IF(AND(ISNUMBER($M9),AB$5&gt;=$M9,AB$5&lt;=IF($N9="",$L$1,$N9),WEEKDAY(AB$5,2)&lt;6,COUNTIF(휴일!$A$2:$A$2,AB$5)=0),2,IF(AND(ISNUMBER($K9),AB$5&gt;=$K9,AB$5&lt;=$L9,WEEKDAY(AB$5,2)&lt;6,COUNTIF(휴일!$A$2:$A$2,AB$5)=0),1,""))</f>
        <v/>
      </c>
      <c r="AC9" s="32" t="str">
        <f aca="false">IF(AND(ISNUMBER($M9),AC$5&gt;=$M9,AC$5&lt;=IF($N9="",$L$1,$N9),WEEKDAY(AC$5,2)&lt;6,COUNTIF(휴일!$A$2:$A$2,AC$5)=0),2,IF(AND(ISNUMBER($K9),AC$5&gt;=$K9,AC$5&lt;=$L9,WEEKDAY(AC$5,2)&lt;6,COUNTIF(휴일!$A$2:$A$2,AC$5)=0),1,""))</f>
        <v/>
      </c>
      <c r="AD9" s="32" t="str">
        <f aca="false">IF(AND(ISNUMBER($M9),AD$5&gt;=$M9,AD$5&lt;=IF($N9="",$L$1,$N9),WEEKDAY(AD$5,2)&lt;6,COUNTIF(휴일!$A$2:$A$2,AD$5)=0),2,IF(AND(ISNUMBER($K9),AD$5&gt;=$K9,AD$5&lt;=$L9,WEEKDAY(AD$5,2)&lt;6,COUNTIF(휴일!$A$2:$A$2,AD$5)=0),1,""))</f>
        <v/>
      </c>
      <c r="AE9" s="32" t="str">
        <f aca="false">IF(AND(ISNUMBER($M9),AE$5&gt;=$M9,AE$5&lt;=IF($N9="",$L$1,$N9),WEEKDAY(AE$5,2)&lt;6,COUNTIF(휴일!$A$2:$A$2,AE$5)=0),2,IF(AND(ISNUMBER($K9),AE$5&gt;=$K9,AE$5&lt;=$L9,WEEKDAY(AE$5,2)&lt;6,COUNTIF(휴일!$A$2:$A$2,AE$5)=0),1,""))</f>
        <v/>
      </c>
      <c r="AF9" s="25" t="s">
        <v>36</v>
      </c>
      <c r="AG9" s="26"/>
      <c r="AH9" s="26"/>
    </row>
    <row r="10" customFormat="false" ht="54" hidden="false" customHeight="true" outlineLevel="0" collapsed="false">
      <c r="A10" s="2"/>
      <c r="B10" s="14"/>
      <c r="C10" s="14"/>
      <c r="D10" s="16"/>
      <c r="E10" s="16"/>
      <c r="F10" s="27" t="s">
        <v>43</v>
      </c>
      <c r="G10" s="27"/>
      <c r="H10" s="27" t="s">
        <v>33</v>
      </c>
      <c r="I10" s="27" t="s">
        <v>34</v>
      </c>
      <c r="J10" s="27" t="s">
        <v>44</v>
      </c>
      <c r="K10" s="28" t="n">
        <v>46301</v>
      </c>
      <c r="L10" s="28" t="n">
        <v>46301</v>
      </c>
      <c r="M10" s="19" t="n">
        <v>46301</v>
      </c>
      <c r="N10" s="19" t="n">
        <v>46302</v>
      </c>
      <c r="O10" s="29" t="n">
        <f aca="false">IF(OR(K10="",L10=""),"",IF(L10&lt;K10,"날짜 확인",NETWORKDAYS(K10,L10,휴일!$A$2:$A$2)))</f>
        <v>1</v>
      </c>
      <c r="P10" s="29" t="n">
        <f aca="false">IF(OR(M10="",N10=""),"",IF(N10&lt;M10,"날짜 확인",NETWORKDAYS(M10,N10,휴일!$A$2:$A$2)))</f>
        <v>2</v>
      </c>
      <c r="Q10" s="29" t="n">
        <f aca="false">IF(O10="","",IF($L$1&lt;K10,0,NETWORKDAYS(K10,MIN($L$1,L10),휴일!$A$2:$A$2)))</f>
        <v>1</v>
      </c>
      <c r="R10" s="29" t="n">
        <f aca="false">IF(M10="","",IF($L$1&lt;M10,0,NETWORKDAYS(M10,IF(N10="",$L$1,MIN($L$1,N10)),휴일!$A$2:$A$2)))</f>
        <v>2</v>
      </c>
      <c r="S10" s="30" t="n">
        <f aca="false">IF(O10="","",IF(O10=0,0,Q10/O10))</f>
        <v>1</v>
      </c>
      <c r="T10" s="31" t="n">
        <f aca="false">IF(OR(AND(AG10&lt;&gt;"",OR(NOT(ISNUMBER(AG10)),AG10&lt;=0)),AND(AH10&lt;&gt;"",OR(NOT(ISNUMBER(AH10)),AH10&lt;0)),AND(ISNUMBER(AG10),ISNUMBER(AH10),AH10&gt;AG10)),"수량 확인",IF(AF10="완료",1,IF(AF10="미착수",0,IF(AND(ISNUMBER(AG10),ISNUMBER(AH10)),AH10/AG10,""))))</f>
        <v>1</v>
      </c>
      <c r="U10" s="30" t="n">
        <f aca="false">IF(T10="","",T10)</f>
        <v>1</v>
      </c>
      <c r="V10" s="30" t="n">
        <f aca="false">IF(OR(U10="",S10=""),"",U10-S10)</f>
        <v>0</v>
      </c>
      <c r="W10" s="32" t="n">
        <f aca="false">IF(AND(ISNUMBER($M10),W$5&gt;=$M10,W$5&lt;=IF($N10="",$L$1,$N10),WEEKDAY(W$5,2)&lt;6,COUNTIF(휴일!$A$2:$A$2,W$5)=0),2,IF(AND(ISNUMBER($K10),W$5&gt;=$K10,W$5&lt;=$L10,WEEKDAY(W$5,2)&lt;6,COUNTIF(휴일!$A$2:$A$2,W$5)=0),1,""))</f>
        <v>2</v>
      </c>
      <c r="X10" s="32" t="n">
        <f aca="false">IF(AND(ISNUMBER($M10),X$5&gt;=$M10,X$5&lt;=IF($N10="",$L$1,$N10),WEEKDAY(X$5,2)&lt;6,COUNTIF(휴일!$A$2:$A$2,X$5)=0),2,IF(AND(ISNUMBER($K10),X$5&gt;=$K10,X$5&lt;=$L10,WEEKDAY(X$5,2)&lt;6,COUNTIF(휴일!$A$2:$A$2,X$5)=0),1,""))</f>
        <v>2</v>
      </c>
      <c r="Y10" s="32" t="str">
        <f aca="false">IF(AND(ISNUMBER($M10),Y$5&gt;=$M10,Y$5&lt;=IF($N10="",$L$1,$N10),WEEKDAY(Y$5,2)&lt;6,COUNTIF(휴일!$A$2:$A$2,Y$5)=0),2,IF(AND(ISNUMBER($K10),Y$5&gt;=$K10,Y$5&lt;=$L10,WEEKDAY(Y$5,2)&lt;6,COUNTIF(휴일!$A$2:$A$2,Y$5)=0),1,""))</f>
        <v/>
      </c>
      <c r="Z10" s="33" t="str">
        <f aca="false">IF(AND(ISNUMBER($M10),Z$5&gt;=$M10,Z$5&lt;=IF($N10="",$L$1,$N10),WEEKDAY(Z$5,2)&lt;6,COUNTIF(휴일!$A$2:$A$2,Z$5)=0),2,IF(AND(ISNUMBER($K10),Z$5&gt;=$K10,Z$5&lt;=$L10,WEEKDAY(Z$5,2)&lt;6,COUNTIF(휴일!$A$2:$A$2,Z$5)=0),1,""))</f>
        <v/>
      </c>
      <c r="AA10" s="33" t="str">
        <f aca="false">IF(AND(ISNUMBER($M10),AA$5&gt;=$M10,AA$5&lt;=IF($N10="",$L$1,$N10),WEEKDAY(AA$5,2)&lt;6,COUNTIF(휴일!$A$2:$A$2,AA$5)=0),2,IF(AND(ISNUMBER($K10),AA$5&gt;=$K10,AA$5&lt;=$L10,WEEKDAY(AA$5,2)&lt;6,COUNTIF(휴일!$A$2:$A$2,AA$5)=0),1,""))</f>
        <v/>
      </c>
      <c r="AB10" s="33" t="str">
        <f aca="false">IF(AND(ISNUMBER($M10),AB$5&gt;=$M10,AB$5&lt;=IF($N10="",$L$1,$N10),WEEKDAY(AB$5,2)&lt;6,COUNTIF(휴일!$A$2:$A$2,AB$5)=0),2,IF(AND(ISNUMBER($K10),AB$5&gt;=$K10,AB$5&lt;=$L10,WEEKDAY(AB$5,2)&lt;6,COUNTIF(휴일!$A$2:$A$2,AB$5)=0),1,""))</f>
        <v/>
      </c>
      <c r="AC10" s="32" t="str">
        <f aca="false">IF(AND(ISNUMBER($M10),AC$5&gt;=$M10,AC$5&lt;=IF($N10="",$L$1,$N10),WEEKDAY(AC$5,2)&lt;6,COUNTIF(휴일!$A$2:$A$2,AC$5)=0),2,IF(AND(ISNUMBER($K10),AC$5&gt;=$K10,AC$5&lt;=$L10,WEEKDAY(AC$5,2)&lt;6,COUNTIF(휴일!$A$2:$A$2,AC$5)=0),1,""))</f>
        <v/>
      </c>
      <c r="AD10" s="32" t="str">
        <f aca="false">IF(AND(ISNUMBER($M10),AD$5&gt;=$M10,AD$5&lt;=IF($N10="",$L$1,$N10),WEEKDAY(AD$5,2)&lt;6,COUNTIF(휴일!$A$2:$A$2,AD$5)=0),2,IF(AND(ISNUMBER($K10),AD$5&gt;=$K10,AD$5&lt;=$L10,WEEKDAY(AD$5,2)&lt;6,COUNTIF(휴일!$A$2:$A$2,AD$5)=0),1,""))</f>
        <v/>
      </c>
      <c r="AE10" s="32" t="str">
        <f aca="false">IF(AND(ISNUMBER($M10),AE$5&gt;=$M10,AE$5&lt;=IF($N10="",$L$1,$N10),WEEKDAY(AE$5,2)&lt;6,COUNTIF(휴일!$A$2:$A$2,AE$5)=0),2,IF(AND(ISNUMBER($K10),AE$5&gt;=$K10,AE$5&lt;=$L10,WEEKDAY(AE$5,2)&lt;6,COUNTIF(휴일!$A$2:$A$2,AE$5)=0),1,""))</f>
        <v/>
      </c>
      <c r="AF10" s="25" t="s">
        <v>36</v>
      </c>
      <c r="AG10" s="26"/>
      <c r="AH10" s="26"/>
    </row>
    <row r="11" customFormat="false" ht="54" hidden="false" customHeight="true" outlineLevel="0" collapsed="false">
      <c r="A11" s="2"/>
      <c r="B11" s="14" t="n">
        <v>2</v>
      </c>
      <c r="C11" s="15" t="n">
        <v>0.152892561983471</v>
      </c>
      <c r="D11" s="16" t="s">
        <v>45</v>
      </c>
      <c r="E11" s="16"/>
      <c r="F11" s="17" t="s">
        <v>46</v>
      </c>
      <c r="G11" s="17"/>
      <c r="H11" s="17" t="s">
        <v>34</v>
      </c>
      <c r="I11" s="17" t="s">
        <v>33</v>
      </c>
      <c r="J11" s="17" t="s">
        <v>47</v>
      </c>
      <c r="K11" s="18" t="n">
        <v>46302</v>
      </c>
      <c r="L11" s="18" t="n">
        <v>46302</v>
      </c>
      <c r="M11" s="19" t="n">
        <v>46302</v>
      </c>
      <c r="N11" s="19" t="n">
        <v>46302</v>
      </c>
      <c r="O11" s="20" t="n">
        <f aca="false">IF(OR(K11="",L11=""),"",IF(L11&lt;K11,"날짜 확인",NETWORKDAYS(K11,L11,휴일!$A$2:$A$2)))</f>
        <v>1</v>
      </c>
      <c r="P11" s="20" t="n">
        <f aca="false">IF(OR(M11="",N11=""),"",IF(N11&lt;M11,"날짜 확인",NETWORKDAYS(M11,N11,휴일!$A$2:$A$2)))</f>
        <v>1</v>
      </c>
      <c r="Q11" s="20" t="n">
        <f aca="false">IF(O11="","",IF($L$1&lt;K11,0,NETWORKDAYS(K11,MIN($L$1,L11),휴일!$A$2:$A$2)))</f>
        <v>1</v>
      </c>
      <c r="R11" s="20" t="n">
        <f aca="false">IF(M11="","",IF($L$1&lt;M11,0,NETWORKDAYS(M11,IF(N11="",$L$1,MIN($L$1,N11)),휴일!$A$2:$A$2)))</f>
        <v>1</v>
      </c>
      <c r="S11" s="21" t="n">
        <f aca="false">IF(O11="","",IF(O11=0,0,Q11/O11))</f>
        <v>1</v>
      </c>
      <c r="T11" s="22" t="n">
        <f aca="false">IF(OR(AND(AG11&lt;&gt;"",OR(NOT(ISNUMBER(AG11)),AG11&lt;=0)),AND(AH11&lt;&gt;"",OR(NOT(ISNUMBER(AH11)),AH11&lt;0)),AND(ISNUMBER(AG11),ISNUMBER(AH11),AH11&gt;AG11)),"수량 확인",IF(AF11="완료",1,IF(AF11="미착수",0,IF(AND(ISNUMBER(AG11),ISNUMBER(AH11)),AH11/AG11,""))))</f>
        <v>1</v>
      </c>
      <c r="U11" s="21" t="n">
        <f aca="false">IF(T11="","",T11)</f>
        <v>1</v>
      </c>
      <c r="V11" s="21" t="n">
        <f aca="false">IF(OR(U11="",S11=""),"",U11-S11)</f>
        <v>0</v>
      </c>
      <c r="W11" s="23" t="str">
        <f aca="false">IF(AND(ISNUMBER($M11),W$5&gt;=$M11,W$5&lt;=IF($N11="",$L$1,$N11),WEEKDAY(W$5,2)&lt;6,COUNTIF(휴일!$A$2:$A$2,W$5)=0),2,IF(AND(ISNUMBER($K11),W$5&gt;=$K11,W$5&lt;=$L11,WEEKDAY(W$5,2)&lt;6,COUNTIF(휴일!$A$2:$A$2,W$5)=0),1,""))</f>
        <v/>
      </c>
      <c r="X11" s="23" t="n">
        <f aca="false">IF(AND(ISNUMBER($M11),X$5&gt;=$M11,X$5&lt;=IF($N11="",$L$1,$N11),WEEKDAY(X$5,2)&lt;6,COUNTIF(휴일!$A$2:$A$2,X$5)=0),2,IF(AND(ISNUMBER($K11),X$5&gt;=$K11,X$5&lt;=$L11,WEEKDAY(X$5,2)&lt;6,COUNTIF(휴일!$A$2:$A$2,X$5)=0),1,""))</f>
        <v>2</v>
      </c>
      <c r="Y11" s="23" t="str">
        <f aca="false">IF(AND(ISNUMBER($M11),Y$5&gt;=$M11,Y$5&lt;=IF($N11="",$L$1,$N11),WEEKDAY(Y$5,2)&lt;6,COUNTIF(휴일!$A$2:$A$2,Y$5)=0),2,IF(AND(ISNUMBER($K11),Y$5&gt;=$K11,Y$5&lt;=$L11,WEEKDAY(Y$5,2)&lt;6,COUNTIF(휴일!$A$2:$A$2,Y$5)=0),1,""))</f>
        <v/>
      </c>
      <c r="Z11" s="24" t="str">
        <f aca="false">IF(AND(ISNUMBER($M11),Z$5&gt;=$M11,Z$5&lt;=IF($N11="",$L$1,$N11),WEEKDAY(Z$5,2)&lt;6,COUNTIF(휴일!$A$2:$A$2,Z$5)=0),2,IF(AND(ISNUMBER($K11),Z$5&gt;=$K11,Z$5&lt;=$L11,WEEKDAY(Z$5,2)&lt;6,COUNTIF(휴일!$A$2:$A$2,Z$5)=0),1,""))</f>
        <v/>
      </c>
      <c r="AA11" s="24" t="str">
        <f aca="false">IF(AND(ISNUMBER($M11),AA$5&gt;=$M11,AA$5&lt;=IF($N11="",$L$1,$N11),WEEKDAY(AA$5,2)&lt;6,COUNTIF(휴일!$A$2:$A$2,AA$5)=0),2,IF(AND(ISNUMBER($K11),AA$5&gt;=$K11,AA$5&lt;=$L11,WEEKDAY(AA$5,2)&lt;6,COUNTIF(휴일!$A$2:$A$2,AA$5)=0),1,""))</f>
        <v/>
      </c>
      <c r="AB11" s="24" t="str">
        <f aca="false">IF(AND(ISNUMBER($M11),AB$5&gt;=$M11,AB$5&lt;=IF($N11="",$L$1,$N11),WEEKDAY(AB$5,2)&lt;6,COUNTIF(휴일!$A$2:$A$2,AB$5)=0),2,IF(AND(ISNUMBER($K11),AB$5&gt;=$K11,AB$5&lt;=$L11,WEEKDAY(AB$5,2)&lt;6,COUNTIF(휴일!$A$2:$A$2,AB$5)=0),1,""))</f>
        <v/>
      </c>
      <c r="AC11" s="23" t="str">
        <f aca="false">IF(AND(ISNUMBER($M11),AC$5&gt;=$M11,AC$5&lt;=IF($N11="",$L$1,$N11),WEEKDAY(AC$5,2)&lt;6,COUNTIF(휴일!$A$2:$A$2,AC$5)=0),2,IF(AND(ISNUMBER($K11),AC$5&gt;=$K11,AC$5&lt;=$L11,WEEKDAY(AC$5,2)&lt;6,COUNTIF(휴일!$A$2:$A$2,AC$5)=0),1,""))</f>
        <v/>
      </c>
      <c r="AD11" s="23" t="str">
        <f aca="false">IF(AND(ISNUMBER($M11),AD$5&gt;=$M11,AD$5&lt;=IF($N11="",$L$1,$N11),WEEKDAY(AD$5,2)&lt;6,COUNTIF(휴일!$A$2:$A$2,AD$5)=0),2,IF(AND(ISNUMBER($K11),AD$5&gt;=$K11,AD$5&lt;=$L11,WEEKDAY(AD$5,2)&lt;6,COUNTIF(휴일!$A$2:$A$2,AD$5)=0),1,""))</f>
        <v/>
      </c>
      <c r="AE11" s="23" t="str">
        <f aca="false">IF(AND(ISNUMBER($M11),AE$5&gt;=$M11,AE$5&lt;=IF($N11="",$L$1,$N11),WEEKDAY(AE$5,2)&lt;6,COUNTIF(휴일!$A$2:$A$2,AE$5)=0),2,IF(AND(ISNUMBER($K11),AE$5&gt;=$K11,AE$5&lt;=$L11,WEEKDAY(AE$5,2)&lt;6,COUNTIF(휴일!$A$2:$A$2,AE$5)=0),1,""))</f>
        <v/>
      </c>
      <c r="AF11" s="25" t="s">
        <v>36</v>
      </c>
      <c r="AG11" s="26"/>
      <c r="AH11" s="26"/>
    </row>
    <row r="12" customFormat="false" ht="54" hidden="false" customHeight="true" outlineLevel="0" collapsed="false">
      <c r="A12" s="2"/>
      <c r="B12" s="14"/>
      <c r="C12" s="14"/>
      <c r="D12" s="16"/>
      <c r="E12" s="16"/>
      <c r="F12" s="27" t="s">
        <v>48</v>
      </c>
      <c r="G12" s="27"/>
      <c r="H12" s="27" t="s">
        <v>34</v>
      </c>
      <c r="I12" s="27" t="s">
        <v>33</v>
      </c>
      <c r="J12" s="27" t="s">
        <v>49</v>
      </c>
      <c r="K12" s="28" t="n">
        <v>46302</v>
      </c>
      <c r="L12" s="28" t="n">
        <v>46302</v>
      </c>
      <c r="M12" s="19" t="n">
        <v>46302</v>
      </c>
      <c r="N12" s="19" t="n">
        <v>46302</v>
      </c>
      <c r="O12" s="29" t="n">
        <f aca="false">IF(OR(K12="",L12=""),"",IF(L12&lt;K12,"날짜 확인",NETWORKDAYS(K12,L12,휴일!$A$2:$A$2)))</f>
        <v>1</v>
      </c>
      <c r="P12" s="29" t="n">
        <f aca="false">IF(OR(M12="",N12=""),"",IF(N12&lt;M12,"날짜 확인",NETWORKDAYS(M12,N12,휴일!$A$2:$A$2)))</f>
        <v>1</v>
      </c>
      <c r="Q12" s="29" t="n">
        <f aca="false">IF(O12="","",IF($L$1&lt;K12,0,NETWORKDAYS(K12,MIN($L$1,L12),휴일!$A$2:$A$2)))</f>
        <v>1</v>
      </c>
      <c r="R12" s="29" t="n">
        <f aca="false">IF(M12="","",IF($L$1&lt;M12,0,NETWORKDAYS(M12,IF(N12="",$L$1,MIN($L$1,N12)),휴일!$A$2:$A$2)))</f>
        <v>1</v>
      </c>
      <c r="S12" s="30" t="n">
        <f aca="false">IF(O12="","",IF(O12=0,0,Q12/O12))</f>
        <v>1</v>
      </c>
      <c r="T12" s="31" t="n">
        <f aca="false">IF(OR(AND(AG12&lt;&gt;"",OR(NOT(ISNUMBER(AG12)),AG12&lt;=0)),AND(AH12&lt;&gt;"",OR(NOT(ISNUMBER(AH12)),AH12&lt;0)),AND(ISNUMBER(AG12),ISNUMBER(AH12),AH12&gt;AG12)),"수량 확인",IF(AF12="완료",1,IF(AF12="미착수",0,IF(AND(ISNUMBER(AG12),ISNUMBER(AH12)),AH12/AG12,""))))</f>
        <v>1</v>
      </c>
      <c r="U12" s="30" t="n">
        <f aca="false">IF(T12="","",T12)</f>
        <v>1</v>
      </c>
      <c r="V12" s="30" t="n">
        <f aca="false">IF(OR(U12="",S12=""),"",U12-S12)</f>
        <v>0</v>
      </c>
      <c r="W12" s="32" t="str">
        <f aca="false">IF(AND(ISNUMBER($M12),W$5&gt;=$M12,W$5&lt;=IF($N12="",$L$1,$N12),WEEKDAY(W$5,2)&lt;6,COUNTIF(휴일!$A$2:$A$2,W$5)=0),2,IF(AND(ISNUMBER($K12),W$5&gt;=$K12,W$5&lt;=$L12,WEEKDAY(W$5,2)&lt;6,COUNTIF(휴일!$A$2:$A$2,W$5)=0),1,""))</f>
        <v/>
      </c>
      <c r="X12" s="32" t="n">
        <f aca="false">IF(AND(ISNUMBER($M12),X$5&gt;=$M12,X$5&lt;=IF($N12="",$L$1,$N12),WEEKDAY(X$5,2)&lt;6,COUNTIF(휴일!$A$2:$A$2,X$5)=0),2,IF(AND(ISNUMBER($K12),X$5&gt;=$K12,X$5&lt;=$L12,WEEKDAY(X$5,2)&lt;6,COUNTIF(휴일!$A$2:$A$2,X$5)=0),1,""))</f>
        <v>2</v>
      </c>
      <c r="Y12" s="32" t="str">
        <f aca="false">IF(AND(ISNUMBER($M12),Y$5&gt;=$M12,Y$5&lt;=IF($N12="",$L$1,$N12),WEEKDAY(Y$5,2)&lt;6,COUNTIF(휴일!$A$2:$A$2,Y$5)=0),2,IF(AND(ISNUMBER($K12),Y$5&gt;=$K12,Y$5&lt;=$L12,WEEKDAY(Y$5,2)&lt;6,COUNTIF(휴일!$A$2:$A$2,Y$5)=0),1,""))</f>
        <v/>
      </c>
      <c r="Z12" s="33" t="str">
        <f aca="false">IF(AND(ISNUMBER($M12),Z$5&gt;=$M12,Z$5&lt;=IF($N12="",$L$1,$N12),WEEKDAY(Z$5,2)&lt;6,COUNTIF(휴일!$A$2:$A$2,Z$5)=0),2,IF(AND(ISNUMBER($K12),Z$5&gt;=$K12,Z$5&lt;=$L12,WEEKDAY(Z$5,2)&lt;6,COUNTIF(휴일!$A$2:$A$2,Z$5)=0),1,""))</f>
        <v/>
      </c>
      <c r="AA12" s="33" t="str">
        <f aca="false">IF(AND(ISNUMBER($M12),AA$5&gt;=$M12,AA$5&lt;=IF($N12="",$L$1,$N12),WEEKDAY(AA$5,2)&lt;6,COUNTIF(휴일!$A$2:$A$2,AA$5)=0),2,IF(AND(ISNUMBER($K12),AA$5&gt;=$K12,AA$5&lt;=$L12,WEEKDAY(AA$5,2)&lt;6,COUNTIF(휴일!$A$2:$A$2,AA$5)=0),1,""))</f>
        <v/>
      </c>
      <c r="AB12" s="33" t="str">
        <f aca="false">IF(AND(ISNUMBER($M12),AB$5&gt;=$M12,AB$5&lt;=IF($N12="",$L$1,$N12),WEEKDAY(AB$5,2)&lt;6,COUNTIF(휴일!$A$2:$A$2,AB$5)=0),2,IF(AND(ISNUMBER($K12),AB$5&gt;=$K12,AB$5&lt;=$L12,WEEKDAY(AB$5,2)&lt;6,COUNTIF(휴일!$A$2:$A$2,AB$5)=0),1,""))</f>
        <v/>
      </c>
      <c r="AC12" s="32" t="str">
        <f aca="false">IF(AND(ISNUMBER($M12),AC$5&gt;=$M12,AC$5&lt;=IF($N12="",$L$1,$N12),WEEKDAY(AC$5,2)&lt;6,COUNTIF(휴일!$A$2:$A$2,AC$5)=0),2,IF(AND(ISNUMBER($K12),AC$5&gt;=$K12,AC$5&lt;=$L12,WEEKDAY(AC$5,2)&lt;6,COUNTIF(휴일!$A$2:$A$2,AC$5)=0),1,""))</f>
        <v/>
      </c>
      <c r="AD12" s="32" t="str">
        <f aca="false">IF(AND(ISNUMBER($M12),AD$5&gt;=$M12,AD$5&lt;=IF($N12="",$L$1,$N12),WEEKDAY(AD$5,2)&lt;6,COUNTIF(휴일!$A$2:$A$2,AD$5)=0),2,IF(AND(ISNUMBER($K12),AD$5&gt;=$K12,AD$5&lt;=$L12,WEEKDAY(AD$5,2)&lt;6,COUNTIF(휴일!$A$2:$A$2,AD$5)=0),1,""))</f>
        <v/>
      </c>
      <c r="AE12" s="32" t="str">
        <f aca="false">IF(AND(ISNUMBER($M12),AE$5&gt;=$M12,AE$5&lt;=IF($N12="",$L$1,$N12),WEEKDAY(AE$5,2)&lt;6,COUNTIF(휴일!$A$2:$A$2,AE$5)=0),2,IF(AND(ISNUMBER($K12),AE$5&gt;=$K12,AE$5&lt;=$L12,WEEKDAY(AE$5,2)&lt;6,COUNTIF(휴일!$A$2:$A$2,AE$5)=0),1,""))</f>
        <v/>
      </c>
      <c r="AF12" s="25" t="s">
        <v>36</v>
      </c>
      <c r="AG12" s="26"/>
      <c r="AH12" s="26"/>
    </row>
    <row r="13" customFormat="false" ht="54" hidden="false" customHeight="true" outlineLevel="0" collapsed="false">
      <c r="A13" s="2"/>
      <c r="B13" s="14"/>
      <c r="C13" s="14"/>
      <c r="D13" s="16"/>
      <c r="E13" s="16"/>
      <c r="F13" s="27" t="s">
        <v>50</v>
      </c>
      <c r="G13" s="27"/>
      <c r="H13" s="27" t="s">
        <v>33</v>
      </c>
      <c r="I13" s="27" t="s">
        <v>34</v>
      </c>
      <c r="J13" s="27" t="s">
        <v>51</v>
      </c>
      <c r="K13" s="28" t="n">
        <v>46302</v>
      </c>
      <c r="L13" s="28" t="n">
        <v>46302</v>
      </c>
      <c r="M13" s="19" t="n">
        <v>46302</v>
      </c>
      <c r="N13" s="19" t="n">
        <v>46303</v>
      </c>
      <c r="O13" s="29" t="n">
        <f aca="false">IF(OR(K13="",L13=""),"",IF(L13&lt;K13,"날짜 확인",NETWORKDAYS(K13,L13,휴일!$A$2:$A$2)))</f>
        <v>1</v>
      </c>
      <c r="P13" s="29" t="n">
        <f aca="false">IF(OR(M13="",N13=""),"",IF(N13&lt;M13,"날짜 확인",NETWORKDAYS(M13,N13,휴일!$A$2:$A$2)))</f>
        <v>2</v>
      </c>
      <c r="Q13" s="29" t="n">
        <f aca="false">IF(O13="","",IF($L$1&lt;K13,0,NETWORKDAYS(K13,MIN($L$1,L13),휴일!$A$2:$A$2)))</f>
        <v>1</v>
      </c>
      <c r="R13" s="29" t="n">
        <f aca="false">IF(M13="","",IF($L$1&lt;M13,0,NETWORKDAYS(M13,IF(N13="",$L$1,MIN($L$1,N13)),휴일!$A$2:$A$2)))</f>
        <v>2</v>
      </c>
      <c r="S13" s="30" t="n">
        <f aca="false">IF(O13="","",IF(O13=0,0,Q13/O13))</f>
        <v>1</v>
      </c>
      <c r="T13" s="31" t="n">
        <f aca="false">IF(OR(AND(AG13&lt;&gt;"",OR(NOT(ISNUMBER(AG13)),AG13&lt;=0)),AND(AH13&lt;&gt;"",OR(NOT(ISNUMBER(AH13)),AH13&lt;0)),AND(ISNUMBER(AG13),ISNUMBER(AH13),AH13&gt;AG13)),"수량 확인",IF(AF13="완료",1,IF(AF13="미착수",0,IF(AND(ISNUMBER(AG13),ISNUMBER(AH13)),AH13/AG13,""))))</f>
        <v>1</v>
      </c>
      <c r="U13" s="30" t="n">
        <f aca="false">IF(T13="","",T13)</f>
        <v>1</v>
      </c>
      <c r="V13" s="30" t="n">
        <f aca="false">IF(OR(U13="",S13=""),"",U13-S13)</f>
        <v>0</v>
      </c>
      <c r="W13" s="32" t="str">
        <f aca="false">IF(AND(ISNUMBER($M13),W$5&gt;=$M13,W$5&lt;=IF($N13="",$L$1,$N13),WEEKDAY(W$5,2)&lt;6,COUNTIF(휴일!$A$2:$A$2,W$5)=0),2,IF(AND(ISNUMBER($K13),W$5&gt;=$K13,W$5&lt;=$L13,WEEKDAY(W$5,2)&lt;6,COUNTIF(휴일!$A$2:$A$2,W$5)=0),1,""))</f>
        <v/>
      </c>
      <c r="X13" s="32" t="n">
        <f aca="false">IF(AND(ISNUMBER($M13),X$5&gt;=$M13,X$5&lt;=IF($N13="",$L$1,$N13),WEEKDAY(X$5,2)&lt;6,COUNTIF(휴일!$A$2:$A$2,X$5)=0),2,IF(AND(ISNUMBER($K13),X$5&gt;=$K13,X$5&lt;=$L13,WEEKDAY(X$5,2)&lt;6,COUNTIF(휴일!$A$2:$A$2,X$5)=0),1,""))</f>
        <v>2</v>
      </c>
      <c r="Y13" s="32" t="n">
        <f aca="false">IF(AND(ISNUMBER($M13),Y$5&gt;=$M13,Y$5&lt;=IF($N13="",$L$1,$N13),WEEKDAY(Y$5,2)&lt;6,COUNTIF(휴일!$A$2:$A$2,Y$5)=0),2,IF(AND(ISNUMBER($K13),Y$5&gt;=$K13,Y$5&lt;=$L13,WEEKDAY(Y$5,2)&lt;6,COUNTIF(휴일!$A$2:$A$2,Y$5)=0),1,""))</f>
        <v>2</v>
      </c>
      <c r="Z13" s="33" t="str">
        <f aca="false">IF(AND(ISNUMBER($M13),Z$5&gt;=$M13,Z$5&lt;=IF($N13="",$L$1,$N13),WEEKDAY(Z$5,2)&lt;6,COUNTIF(휴일!$A$2:$A$2,Z$5)=0),2,IF(AND(ISNUMBER($K13),Z$5&gt;=$K13,Z$5&lt;=$L13,WEEKDAY(Z$5,2)&lt;6,COUNTIF(휴일!$A$2:$A$2,Z$5)=0),1,""))</f>
        <v/>
      </c>
      <c r="AA13" s="33" t="str">
        <f aca="false">IF(AND(ISNUMBER($M13),AA$5&gt;=$M13,AA$5&lt;=IF($N13="",$L$1,$N13),WEEKDAY(AA$5,2)&lt;6,COUNTIF(휴일!$A$2:$A$2,AA$5)=0),2,IF(AND(ISNUMBER($K13),AA$5&gt;=$K13,AA$5&lt;=$L13,WEEKDAY(AA$5,2)&lt;6,COUNTIF(휴일!$A$2:$A$2,AA$5)=0),1,""))</f>
        <v/>
      </c>
      <c r="AB13" s="33" t="str">
        <f aca="false">IF(AND(ISNUMBER($M13),AB$5&gt;=$M13,AB$5&lt;=IF($N13="",$L$1,$N13),WEEKDAY(AB$5,2)&lt;6,COUNTIF(휴일!$A$2:$A$2,AB$5)=0),2,IF(AND(ISNUMBER($K13),AB$5&gt;=$K13,AB$5&lt;=$L13,WEEKDAY(AB$5,2)&lt;6,COUNTIF(휴일!$A$2:$A$2,AB$5)=0),1,""))</f>
        <v/>
      </c>
      <c r="AC13" s="32" t="str">
        <f aca="false">IF(AND(ISNUMBER($M13),AC$5&gt;=$M13,AC$5&lt;=IF($N13="",$L$1,$N13),WEEKDAY(AC$5,2)&lt;6,COUNTIF(휴일!$A$2:$A$2,AC$5)=0),2,IF(AND(ISNUMBER($K13),AC$5&gt;=$K13,AC$5&lt;=$L13,WEEKDAY(AC$5,2)&lt;6,COUNTIF(휴일!$A$2:$A$2,AC$5)=0),1,""))</f>
        <v/>
      </c>
      <c r="AD13" s="32" t="str">
        <f aca="false">IF(AND(ISNUMBER($M13),AD$5&gt;=$M13,AD$5&lt;=IF($N13="",$L$1,$N13),WEEKDAY(AD$5,2)&lt;6,COUNTIF(휴일!$A$2:$A$2,AD$5)=0),2,IF(AND(ISNUMBER($K13),AD$5&gt;=$K13,AD$5&lt;=$L13,WEEKDAY(AD$5,2)&lt;6,COUNTIF(휴일!$A$2:$A$2,AD$5)=0),1,""))</f>
        <v/>
      </c>
      <c r="AE13" s="32" t="str">
        <f aca="false">IF(AND(ISNUMBER($M13),AE$5&gt;=$M13,AE$5&lt;=IF($N13="",$L$1,$N13),WEEKDAY(AE$5,2)&lt;6,COUNTIF(휴일!$A$2:$A$2,AE$5)=0),2,IF(AND(ISNUMBER($K13),AE$5&gt;=$K13,AE$5&lt;=$L13,WEEKDAY(AE$5,2)&lt;6,COUNTIF(휴일!$A$2:$A$2,AE$5)=0),1,""))</f>
        <v/>
      </c>
      <c r="AF13" s="25" t="s">
        <v>36</v>
      </c>
      <c r="AG13" s="26"/>
      <c r="AH13" s="26"/>
    </row>
    <row r="14" customFormat="false" ht="54" hidden="false" customHeight="true" outlineLevel="0" collapsed="false">
      <c r="A14" s="2"/>
      <c r="B14" s="14"/>
      <c r="C14" s="14"/>
      <c r="D14" s="16"/>
      <c r="E14" s="16"/>
      <c r="F14" s="27" t="s">
        <v>52</v>
      </c>
      <c r="G14" s="27"/>
      <c r="H14" s="27" t="s">
        <v>33</v>
      </c>
      <c r="I14" s="27" t="s">
        <v>34</v>
      </c>
      <c r="J14" s="27" t="s">
        <v>53</v>
      </c>
      <c r="K14" s="28" t="n">
        <v>46302</v>
      </c>
      <c r="L14" s="28" t="n">
        <v>46302</v>
      </c>
      <c r="M14" s="34" t="n">
        <v>46303</v>
      </c>
      <c r="N14" s="34" t="n">
        <v>46307</v>
      </c>
      <c r="O14" s="29" t="n">
        <f aca="false">IF(OR(K14="",L14=""),"",IF(L14&lt;K14,"날짜 확인",NETWORKDAYS(K14,L14,휴일!$A$2:$A$2)))</f>
        <v>1</v>
      </c>
      <c r="P14" s="29" t="n">
        <f aca="false">IF(OR(M14="",N14=""),"",IF(N14&lt;M14,"날짜 확인",NETWORKDAYS(M14,N14,휴일!$A$2:$A$2)))</f>
        <v>2</v>
      </c>
      <c r="Q14" s="29" t="n">
        <f aca="false">IF(O14="","",IF($L$1&lt;K14,0,NETWORKDAYS(K14,MIN($L$1,L14),휴일!$A$2:$A$2)))</f>
        <v>1</v>
      </c>
      <c r="R14" s="29" t="n">
        <f aca="false">IF(M14="","",IF($L$1&lt;M14,0,NETWORKDAYS(M14,IF(N14="",$L$1,MIN($L$1,N14)),휴일!$A$2:$A$2)))</f>
        <v>2</v>
      </c>
      <c r="S14" s="30" t="n">
        <f aca="false">IF(O14="","",IF(O14=0,0,Q14/O14))</f>
        <v>1</v>
      </c>
      <c r="T14" s="31" t="n">
        <f aca="false">IF(OR(AND(AG14&lt;&gt;"",OR(NOT(ISNUMBER(AG14)),AG14&lt;=0)),AND(AH14&lt;&gt;"",OR(NOT(ISNUMBER(AH14)),AH14&lt;0)),AND(ISNUMBER(AG14),ISNUMBER(AH14),AH14&gt;AG14)),"수량 확인",IF(AF14="완료",1,IF(AF14="미착수",0,IF(AND(ISNUMBER(AG14),ISNUMBER(AH14)),AH14/AG14,""))))</f>
        <v>1</v>
      </c>
      <c r="U14" s="30" t="n">
        <f aca="false">IF(T14="","",T14)</f>
        <v>1</v>
      </c>
      <c r="V14" s="30" t="n">
        <f aca="false">IF(OR(U14="",S14=""),"",U14-S14)</f>
        <v>0</v>
      </c>
      <c r="W14" s="32" t="str">
        <f aca="false">IF(AND(ISNUMBER($M14),W$5&gt;=$M14,W$5&lt;=IF($N14="",$L$1,$N14),WEEKDAY(W$5,2)&lt;6,COUNTIF(휴일!$A$2:$A$2,W$5)=0),2,IF(AND(ISNUMBER($K14),W$5&gt;=$K14,W$5&lt;=$L14,WEEKDAY(W$5,2)&lt;6,COUNTIF(휴일!$A$2:$A$2,W$5)=0),1,""))</f>
        <v/>
      </c>
      <c r="X14" s="32" t="n">
        <f aca="false">IF(AND(ISNUMBER($M14),X$5&gt;=$M14,X$5&lt;=IF($N14="",$L$1,$N14),WEEKDAY(X$5,2)&lt;6,COUNTIF(휴일!$A$2:$A$2,X$5)=0),2,IF(AND(ISNUMBER($K14),X$5&gt;=$K14,X$5&lt;=$L14,WEEKDAY(X$5,2)&lt;6,COUNTIF(휴일!$A$2:$A$2,X$5)=0),1,""))</f>
        <v>1</v>
      </c>
      <c r="Y14" s="32" t="n">
        <f aca="false">IF(AND(ISNUMBER($M14),Y$5&gt;=$M14,Y$5&lt;=IF($N14="",$L$1,$N14),WEEKDAY(Y$5,2)&lt;6,COUNTIF(휴일!$A$2:$A$2,Y$5)=0),2,IF(AND(ISNUMBER($K14),Y$5&gt;=$K14,Y$5&lt;=$L14,WEEKDAY(Y$5,2)&lt;6,COUNTIF(휴일!$A$2:$A$2,Y$5)=0),1,""))</f>
        <v>2</v>
      </c>
      <c r="Z14" s="33" t="str">
        <f aca="false">IF(AND(ISNUMBER($M14),Z$5&gt;=$M14,Z$5&lt;=IF($N14="",$L$1,$N14),WEEKDAY(Z$5,2)&lt;6,COUNTIF(휴일!$A$2:$A$2,Z$5)=0),2,IF(AND(ISNUMBER($K14),Z$5&gt;=$K14,Z$5&lt;=$L14,WEEKDAY(Z$5,2)&lt;6,COUNTIF(휴일!$A$2:$A$2,Z$5)=0),1,""))</f>
        <v/>
      </c>
      <c r="AA14" s="33" t="str">
        <f aca="false">IF(AND(ISNUMBER($M14),AA$5&gt;=$M14,AA$5&lt;=IF($N14="",$L$1,$N14),WEEKDAY(AA$5,2)&lt;6,COUNTIF(휴일!$A$2:$A$2,AA$5)=0),2,IF(AND(ISNUMBER($K14),AA$5&gt;=$K14,AA$5&lt;=$L14,WEEKDAY(AA$5,2)&lt;6,COUNTIF(휴일!$A$2:$A$2,AA$5)=0),1,""))</f>
        <v/>
      </c>
      <c r="AB14" s="33" t="str">
        <f aca="false">IF(AND(ISNUMBER($M14),AB$5&gt;=$M14,AB$5&lt;=IF($N14="",$L$1,$N14),WEEKDAY(AB$5,2)&lt;6,COUNTIF(휴일!$A$2:$A$2,AB$5)=0),2,IF(AND(ISNUMBER($K14),AB$5&gt;=$K14,AB$5&lt;=$L14,WEEKDAY(AB$5,2)&lt;6,COUNTIF(휴일!$A$2:$A$2,AB$5)=0),1,""))</f>
        <v/>
      </c>
      <c r="AC14" s="32" t="n">
        <f aca="false">IF(AND(ISNUMBER($M14),AC$5&gt;=$M14,AC$5&lt;=IF($N14="",$L$1,$N14),WEEKDAY(AC$5,2)&lt;6,COUNTIF(휴일!$A$2:$A$2,AC$5)=0),2,IF(AND(ISNUMBER($K14),AC$5&gt;=$K14,AC$5&lt;=$L14,WEEKDAY(AC$5,2)&lt;6,COUNTIF(휴일!$A$2:$A$2,AC$5)=0),1,""))</f>
        <v>2</v>
      </c>
      <c r="AD14" s="32" t="str">
        <f aca="false">IF(AND(ISNUMBER($M14),AD$5&gt;=$M14,AD$5&lt;=IF($N14="",$L$1,$N14),WEEKDAY(AD$5,2)&lt;6,COUNTIF(휴일!$A$2:$A$2,AD$5)=0),2,IF(AND(ISNUMBER($K14),AD$5&gt;=$K14,AD$5&lt;=$L14,WEEKDAY(AD$5,2)&lt;6,COUNTIF(휴일!$A$2:$A$2,AD$5)=0),1,""))</f>
        <v/>
      </c>
      <c r="AE14" s="32" t="str">
        <f aca="false">IF(AND(ISNUMBER($M14),AE$5&gt;=$M14,AE$5&lt;=IF($N14="",$L$1,$N14),WEEKDAY(AE$5,2)&lt;6,COUNTIF(휴일!$A$2:$A$2,AE$5)=0),2,IF(AND(ISNUMBER($K14),AE$5&gt;=$K14,AE$5&lt;=$L14,WEEKDAY(AE$5,2)&lt;6,COUNTIF(휴일!$A$2:$A$2,AE$5)=0),1,""))</f>
        <v/>
      </c>
      <c r="AF14" s="25" t="s">
        <v>36</v>
      </c>
      <c r="AG14" s="26"/>
      <c r="AH14" s="26"/>
    </row>
    <row r="15" customFormat="false" ht="54" hidden="false" customHeight="true" outlineLevel="0" collapsed="false">
      <c r="A15" s="2"/>
      <c r="B15" s="14"/>
      <c r="C15" s="14"/>
      <c r="D15" s="16"/>
      <c r="E15" s="16"/>
      <c r="F15" s="27" t="s">
        <v>54</v>
      </c>
      <c r="G15" s="27"/>
      <c r="H15" s="27" t="s">
        <v>33</v>
      </c>
      <c r="I15" s="27" t="s">
        <v>34</v>
      </c>
      <c r="J15" s="27" t="s">
        <v>55</v>
      </c>
      <c r="K15" s="28" t="n">
        <v>46302</v>
      </c>
      <c r="L15" s="28" t="n">
        <v>46302</v>
      </c>
      <c r="M15" s="34" t="n">
        <v>46303</v>
      </c>
      <c r="N15" s="34" t="n">
        <v>46303</v>
      </c>
      <c r="O15" s="29" t="n">
        <f aca="false">IF(OR(K15="",L15=""),"",IF(L15&lt;K15,"날짜 확인",NETWORKDAYS(K15,L15,휴일!$A$2:$A$2)))</f>
        <v>1</v>
      </c>
      <c r="P15" s="29" t="n">
        <f aca="false">IF(OR(M15="",N15=""),"",IF(N15&lt;M15,"날짜 확인",NETWORKDAYS(M15,N15,휴일!$A$2:$A$2)))</f>
        <v>1</v>
      </c>
      <c r="Q15" s="29" t="n">
        <f aca="false">IF(O15="","",IF($L$1&lt;K15,0,NETWORKDAYS(K15,MIN($L$1,L15),휴일!$A$2:$A$2)))</f>
        <v>1</v>
      </c>
      <c r="R15" s="29" t="n">
        <f aca="false">IF(M15="","",IF($L$1&lt;M15,0,NETWORKDAYS(M15,IF(N15="",$L$1,MIN($L$1,N15)),휴일!$A$2:$A$2)))</f>
        <v>1</v>
      </c>
      <c r="S15" s="30" t="n">
        <f aca="false">IF(O15="","",IF(O15=0,0,Q15/O15))</f>
        <v>1</v>
      </c>
      <c r="T15" s="31" t="n">
        <f aca="false">IF(OR(AND(AG15&lt;&gt;"",OR(NOT(ISNUMBER(AG15)),AG15&lt;=0)),AND(AH15&lt;&gt;"",OR(NOT(ISNUMBER(AH15)),AH15&lt;0)),AND(ISNUMBER(AG15),ISNUMBER(AH15),AH15&gt;AG15)),"수량 확인",IF(AF15="완료",1,IF(AF15="미착수",0,IF(AND(ISNUMBER(AG15),ISNUMBER(AH15)),AH15/AG15,""))))</f>
        <v>1</v>
      </c>
      <c r="U15" s="30" t="n">
        <f aca="false">IF(T15="","",T15)</f>
        <v>1</v>
      </c>
      <c r="V15" s="30" t="n">
        <f aca="false">IF(OR(U15="",S15=""),"",U15-S15)</f>
        <v>0</v>
      </c>
      <c r="W15" s="32" t="str">
        <f aca="false">IF(AND(ISNUMBER($M15),W$5&gt;=$M15,W$5&lt;=IF($N15="",$L$1,$N15),WEEKDAY(W$5,2)&lt;6,COUNTIF(휴일!$A$2:$A$2,W$5)=0),2,IF(AND(ISNUMBER($K15),W$5&gt;=$K15,W$5&lt;=$L15,WEEKDAY(W$5,2)&lt;6,COUNTIF(휴일!$A$2:$A$2,W$5)=0),1,""))</f>
        <v/>
      </c>
      <c r="X15" s="32" t="n">
        <f aca="false">IF(AND(ISNUMBER($M15),X$5&gt;=$M15,X$5&lt;=IF($N15="",$L$1,$N15),WEEKDAY(X$5,2)&lt;6,COUNTIF(휴일!$A$2:$A$2,X$5)=0),2,IF(AND(ISNUMBER($K15),X$5&gt;=$K15,X$5&lt;=$L15,WEEKDAY(X$5,2)&lt;6,COUNTIF(휴일!$A$2:$A$2,X$5)=0),1,""))</f>
        <v>1</v>
      </c>
      <c r="Y15" s="32" t="n">
        <f aca="false">IF(AND(ISNUMBER($M15),Y$5&gt;=$M15,Y$5&lt;=IF($N15="",$L$1,$N15),WEEKDAY(Y$5,2)&lt;6,COUNTIF(휴일!$A$2:$A$2,Y$5)=0),2,IF(AND(ISNUMBER($K15),Y$5&gt;=$K15,Y$5&lt;=$L15,WEEKDAY(Y$5,2)&lt;6,COUNTIF(휴일!$A$2:$A$2,Y$5)=0),1,""))</f>
        <v>2</v>
      </c>
      <c r="Z15" s="33" t="str">
        <f aca="false">IF(AND(ISNUMBER($M15),Z$5&gt;=$M15,Z$5&lt;=IF($N15="",$L$1,$N15),WEEKDAY(Z$5,2)&lt;6,COUNTIF(휴일!$A$2:$A$2,Z$5)=0),2,IF(AND(ISNUMBER($K15),Z$5&gt;=$K15,Z$5&lt;=$L15,WEEKDAY(Z$5,2)&lt;6,COUNTIF(휴일!$A$2:$A$2,Z$5)=0),1,""))</f>
        <v/>
      </c>
      <c r="AA15" s="33" t="str">
        <f aca="false">IF(AND(ISNUMBER($M15),AA$5&gt;=$M15,AA$5&lt;=IF($N15="",$L$1,$N15),WEEKDAY(AA$5,2)&lt;6,COUNTIF(휴일!$A$2:$A$2,AA$5)=0),2,IF(AND(ISNUMBER($K15),AA$5&gt;=$K15,AA$5&lt;=$L15,WEEKDAY(AA$5,2)&lt;6,COUNTIF(휴일!$A$2:$A$2,AA$5)=0),1,""))</f>
        <v/>
      </c>
      <c r="AB15" s="33" t="str">
        <f aca="false">IF(AND(ISNUMBER($M15),AB$5&gt;=$M15,AB$5&lt;=IF($N15="",$L$1,$N15),WEEKDAY(AB$5,2)&lt;6,COUNTIF(휴일!$A$2:$A$2,AB$5)=0),2,IF(AND(ISNUMBER($K15),AB$5&gt;=$K15,AB$5&lt;=$L15,WEEKDAY(AB$5,2)&lt;6,COUNTIF(휴일!$A$2:$A$2,AB$5)=0),1,""))</f>
        <v/>
      </c>
      <c r="AC15" s="32" t="str">
        <f aca="false">IF(AND(ISNUMBER($M15),AC$5&gt;=$M15,AC$5&lt;=IF($N15="",$L$1,$N15),WEEKDAY(AC$5,2)&lt;6,COUNTIF(휴일!$A$2:$A$2,AC$5)=0),2,IF(AND(ISNUMBER($K15),AC$5&gt;=$K15,AC$5&lt;=$L15,WEEKDAY(AC$5,2)&lt;6,COUNTIF(휴일!$A$2:$A$2,AC$5)=0),1,""))</f>
        <v/>
      </c>
      <c r="AD15" s="32" t="str">
        <f aca="false">IF(AND(ISNUMBER($M15),AD$5&gt;=$M15,AD$5&lt;=IF($N15="",$L$1,$N15),WEEKDAY(AD$5,2)&lt;6,COUNTIF(휴일!$A$2:$A$2,AD$5)=0),2,IF(AND(ISNUMBER($K15),AD$5&gt;=$K15,AD$5&lt;=$L15,WEEKDAY(AD$5,2)&lt;6,COUNTIF(휴일!$A$2:$A$2,AD$5)=0),1,""))</f>
        <v/>
      </c>
      <c r="AE15" s="32" t="str">
        <f aca="false">IF(AND(ISNUMBER($M15),AE$5&gt;=$M15,AE$5&lt;=IF($N15="",$L$1,$N15),WEEKDAY(AE$5,2)&lt;6,COUNTIF(휴일!$A$2:$A$2,AE$5)=0),2,IF(AND(ISNUMBER($K15),AE$5&gt;=$K15,AE$5&lt;=$L15,WEEKDAY(AE$5,2)&lt;6,COUNTIF(휴일!$A$2:$A$2,AE$5)=0),1,""))</f>
        <v/>
      </c>
      <c r="AF15" s="25" t="s">
        <v>36</v>
      </c>
      <c r="AG15" s="26"/>
      <c r="AH15" s="26"/>
    </row>
    <row r="16" customFormat="false" ht="54" hidden="false" customHeight="true" outlineLevel="0" collapsed="false">
      <c r="A16" s="2"/>
      <c r="B16" s="14"/>
      <c r="C16" s="14"/>
      <c r="D16" s="16"/>
      <c r="E16" s="16"/>
      <c r="F16" s="27" t="s">
        <v>56</v>
      </c>
      <c r="G16" s="27"/>
      <c r="H16" s="27" t="s">
        <v>33</v>
      </c>
      <c r="I16" s="27" t="s">
        <v>34</v>
      </c>
      <c r="J16" s="27" t="s">
        <v>57</v>
      </c>
      <c r="K16" s="28" t="n">
        <v>46302</v>
      </c>
      <c r="L16" s="28" t="n">
        <v>46302</v>
      </c>
      <c r="M16" s="34" t="n">
        <v>46303</v>
      </c>
      <c r="N16" s="34" t="n">
        <v>46307</v>
      </c>
      <c r="O16" s="29" t="n">
        <f aca="false">IF(OR(K16="",L16=""),"",IF(L16&lt;K16,"날짜 확인",NETWORKDAYS(K16,L16,휴일!$A$2:$A$2)))</f>
        <v>1</v>
      </c>
      <c r="P16" s="29" t="n">
        <f aca="false">IF(OR(M16="",N16=""),"",IF(N16&lt;M16,"날짜 확인",NETWORKDAYS(M16,N16,휴일!$A$2:$A$2)))</f>
        <v>2</v>
      </c>
      <c r="Q16" s="29" t="n">
        <f aca="false">IF(O16="","",IF($L$1&lt;K16,0,NETWORKDAYS(K16,MIN($L$1,L16),휴일!$A$2:$A$2)))</f>
        <v>1</v>
      </c>
      <c r="R16" s="29" t="n">
        <f aca="false">IF(M16="","",IF($L$1&lt;M16,0,NETWORKDAYS(M16,IF(N16="",$L$1,MIN($L$1,N16)),휴일!$A$2:$A$2)))</f>
        <v>2</v>
      </c>
      <c r="S16" s="30" t="n">
        <f aca="false">IF(O16="","",IF(O16=0,0,Q16/O16))</f>
        <v>1</v>
      </c>
      <c r="T16" s="31" t="n">
        <f aca="false">IF(OR(AND(AG16&lt;&gt;"",OR(NOT(ISNUMBER(AG16)),AG16&lt;=0)),AND(AH16&lt;&gt;"",OR(NOT(ISNUMBER(AH16)),AH16&lt;0)),AND(ISNUMBER(AG16),ISNUMBER(AH16),AH16&gt;AG16)),"수량 확인",IF(AF16="완료",1,IF(AF16="미착수",0,IF(AND(ISNUMBER(AG16),ISNUMBER(AH16)),AH16/AG16,""))))</f>
        <v>1</v>
      </c>
      <c r="U16" s="30" t="n">
        <f aca="false">IF(T16="","",T16)</f>
        <v>1</v>
      </c>
      <c r="V16" s="30" t="n">
        <f aca="false">IF(OR(U16="",S16=""),"",U16-S16)</f>
        <v>0</v>
      </c>
      <c r="W16" s="32" t="str">
        <f aca="false">IF(AND(ISNUMBER($M16),W$5&gt;=$M16,W$5&lt;=IF($N16="",$L$1,$N16),WEEKDAY(W$5,2)&lt;6,COUNTIF(휴일!$A$2:$A$2,W$5)=0),2,IF(AND(ISNUMBER($K16),W$5&gt;=$K16,W$5&lt;=$L16,WEEKDAY(W$5,2)&lt;6,COUNTIF(휴일!$A$2:$A$2,W$5)=0),1,""))</f>
        <v/>
      </c>
      <c r="X16" s="32" t="n">
        <f aca="false">IF(AND(ISNUMBER($M16),X$5&gt;=$M16,X$5&lt;=IF($N16="",$L$1,$N16),WEEKDAY(X$5,2)&lt;6,COUNTIF(휴일!$A$2:$A$2,X$5)=0),2,IF(AND(ISNUMBER($K16),X$5&gt;=$K16,X$5&lt;=$L16,WEEKDAY(X$5,2)&lt;6,COUNTIF(휴일!$A$2:$A$2,X$5)=0),1,""))</f>
        <v>1</v>
      </c>
      <c r="Y16" s="32" t="n">
        <f aca="false">IF(AND(ISNUMBER($M16),Y$5&gt;=$M16,Y$5&lt;=IF($N16="",$L$1,$N16),WEEKDAY(Y$5,2)&lt;6,COUNTIF(휴일!$A$2:$A$2,Y$5)=0),2,IF(AND(ISNUMBER($K16),Y$5&gt;=$K16,Y$5&lt;=$L16,WEEKDAY(Y$5,2)&lt;6,COUNTIF(휴일!$A$2:$A$2,Y$5)=0),1,""))</f>
        <v>2</v>
      </c>
      <c r="Z16" s="33" t="str">
        <f aca="false">IF(AND(ISNUMBER($M16),Z$5&gt;=$M16,Z$5&lt;=IF($N16="",$L$1,$N16),WEEKDAY(Z$5,2)&lt;6,COUNTIF(휴일!$A$2:$A$2,Z$5)=0),2,IF(AND(ISNUMBER($K16),Z$5&gt;=$K16,Z$5&lt;=$L16,WEEKDAY(Z$5,2)&lt;6,COUNTIF(휴일!$A$2:$A$2,Z$5)=0),1,""))</f>
        <v/>
      </c>
      <c r="AA16" s="33" t="str">
        <f aca="false">IF(AND(ISNUMBER($M16),AA$5&gt;=$M16,AA$5&lt;=IF($N16="",$L$1,$N16),WEEKDAY(AA$5,2)&lt;6,COUNTIF(휴일!$A$2:$A$2,AA$5)=0),2,IF(AND(ISNUMBER($K16),AA$5&gt;=$K16,AA$5&lt;=$L16,WEEKDAY(AA$5,2)&lt;6,COUNTIF(휴일!$A$2:$A$2,AA$5)=0),1,""))</f>
        <v/>
      </c>
      <c r="AB16" s="33" t="str">
        <f aca="false">IF(AND(ISNUMBER($M16),AB$5&gt;=$M16,AB$5&lt;=IF($N16="",$L$1,$N16),WEEKDAY(AB$5,2)&lt;6,COUNTIF(휴일!$A$2:$A$2,AB$5)=0),2,IF(AND(ISNUMBER($K16),AB$5&gt;=$K16,AB$5&lt;=$L16,WEEKDAY(AB$5,2)&lt;6,COUNTIF(휴일!$A$2:$A$2,AB$5)=0),1,""))</f>
        <v/>
      </c>
      <c r="AC16" s="32" t="n">
        <f aca="false">IF(AND(ISNUMBER($M16),AC$5&gt;=$M16,AC$5&lt;=IF($N16="",$L$1,$N16),WEEKDAY(AC$5,2)&lt;6,COUNTIF(휴일!$A$2:$A$2,AC$5)=0),2,IF(AND(ISNUMBER($K16),AC$5&gt;=$K16,AC$5&lt;=$L16,WEEKDAY(AC$5,2)&lt;6,COUNTIF(휴일!$A$2:$A$2,AC$5)=0),1,""))</f>
        <v>2</v>
      </c>
      <c r="AD16" s="32" t="str">
        <f aca="false">IF(AND(ISNUMBER($M16),AD$5&gt;=$M16,AD$5&lt;=IF($N16="",$L$1,$N16),WEEKDAY(AD$5,2)&lt;6,COUNTIF(휴일!$A$2:$A$2,AD$5)=0),2,IF(AND(ISNUMBER($K16),AD$5&gt;=$K16,AD$5&lt;=$L16,WEEKDAY(AD$5,2)&lt;6,COUNTIF(휴일!$A$2:$A$2,AD$5)=0),1,""))</f>
        <v/>
      </c>
      <c r="AE16" s="32" t="str">
        <f aca="false">IF(AND(ISNUMBER($M16),AE$5&gt;=$M16,AE$5&lt;=IF($N16="",$L$1,$N16),WEEKDAY(AE$5,2)&lt;6,COUNTIF(휴일!$A$2:$A$2,AE$5)=0),2,IF(AND(ISNUMBER($K16),AE$5&gt;=$K16,AE$5&lt;=$L16,WEEKDAY(AE$5,2)&lt;6,COUNTIF(휴일!$A$2:$A$2,AE$5)=0),1,""))</f>
        <v/>
      </c>
      <c r="AF16" s="25" t="s">
        <v>36</v>
      </c>
      <c r="AG16" s="26"/>
      <c r="AH16" s="26"/>
    </row>
    <row r="17" customFormat="false" ht="54" hidden="false" customHeight="true" outlineLevel="0" collapsed="false">
      <c r="A17" s="2"/>
      <c r="B17" s="14"/>
      <c r="C17" s="14"/>
      <c r="D17" s="16"/>
      <c r="E17" s="16"/>
      <c r="F17" s="27" t="s">
        <v>58</v>
      </c>
      <c r="G17" s="27"/>
      <c r="H17" s="27" t="s">
        <v>34</v>
      </c>
      <c r="I17" s="27" t="s">
        <v>33</v>
      </c>
      <c r="J17" s="27" t="s">
        <v>59</v>
      </c>
      <c r="K17" s="28" t="n">
        <v>46302</v>
      </c>
      <c r="L17" s="28" t="n">
        <v>46302</v>
      </c>
      <c r="M17" s="34" t="n">
        <v>46303</v>
      </c>
      <c r="N17" s="34" t="n">
        <v>46307</v>
      </c>
      <c r="O17" s="29" t="n">
        <f aca="false">IF(OR(K17="",L17=""),"",IF(L17&lt;K17,"날짜 확인",NETWORKDAYS(K17,L17,휴일!$A$2:$A$2)))</f>
        <v>1</v>
      </c>
      <c r="P17" s="29" t="n">
        <f aca="false">IF(OR(M17="",N17=""),"",IF(N17&lt;M17,"날짜 확인",NETWORKDAYS(M17,N17,휴일!$A$2:$A$2)))</f>
        <v>2</v>
      </c>
      <c r="Q17" s="29" t="n">
        <f aca="false">IF(O17="","",IF($L$1&lt;K17,0,NETWORKDAYS(K17,MIN($L$1,L17),휴일!$A$2:$A$2)))</f>
        <v>1</v>
      </c>
      <c r="R17" s="29" t="n">
        <f aca="false">IF(M17="","",IF($L$1&lt;M17,0,NETWORKDAYS(M17,IF(N17="",$L$1,MIN($L$1,N17)),휴일!$A$2:$A$2)))</f>
        <v>2</v>
      </c>
      <c r="S17" s="30" t="n">
        <f aca="false">IF(O17="","",IF(O17=0,0,Q17/O17))</f>
        <v>1</v>
      </c>
      <c r="T17" s="31" t="n">
        <f aca="false">IF(OR(AND(AG17&lt;&gt;"",OR(NOT(ISNUMBER(AG17)),AG17&lt;=0)),AND(AH17&lt;&gt;"",OR(NOT(ISNUMBER(AH17)),AH17&lt;0)),AND(ISNUMBER(AG17),ISNUMBER(AH17),AH17&gt;AG17)),"수량 확인",IF(AF17="완료",1,IF(AF17="미착수",0,IF(AND(ISNUMBER(AG17),ISNUMBER(AH17)),AH17/AG17,""))))</f>
        <v>1</v>
      </c>
      <c r="U17" s="30" t="n">
        <f aca="false">IF(T17="","",T17)</f>
        <v>1</v>
      </c>
      <c r="V17" s="30" t="n">
        <f aca="false">IF(OR(U17="",S17=""),"",U17-S17)</f>
        <v>0</v>
      </c>
      <c r="W17" s="32" t="str">
        <f aca="false">IF(AND(ISNUMBER($M17),W$5&gt;=$M17,W$5&lt;=IF($N17="",$L$1,$N17),WEEKDAY(W$5,2)&lt;6,COUNTIF(휴일!$A$2:$A$2,W$5)=0),2,IF(AND(ISNUMBER($K17),W$5&gt;=$K17,W$5&lt;=$L17,WEEKDAY(W$5,2)&lt;6,COUNTIF(휴일!$A$2:$A$2,W$5)=0),1,""))</f>
        <v/>
      </c>
      <c r="X17" s="32" t="n">
        <f aca="false">IF(AND(ISNUMBER($M17),X$5&gt;=$M17,X$5&lt;=IF($N17="",$L$1,$N17),WEEKDAY(X$5,2)&lt;6,COUNTIF(휴일!$A$2:$A$2,X$5)=0),2,IF(AND(ISNUMBER($K17),X$5&gt;=$K17,X$5&lt;=$L17,WEEKDAY(X$5,2)&lt;6,COUNTIF(휴일!$A$2:$A$2,X$5)=0),1,""))</f>
        <v>1</v>
      </c>
      <c r="Y17" s="32" t="n">
        <f aca="false">IF(AND(ISNUMBER($M17),Y$5&gt;=$M17,Y$5&lt;=IF($N17="",$L$1,$N17),WEEKDAY(Y$5,2)&lt;6,COUNTIF(휴일!$A$2:$A$2,Y$5)=0),2,IF(AND(ISNUMBER($K17),Y$5&gt;=$K17,Y$5&lt;=$L17,WEEKDAY(Y$5,2)&lt;6,COUNTIF(휴일!$A$2:$A$2,Y$5)=0),1,""))</f>
        <v>2</v>
      </c>
      <c r="Z17" s="33" t="str">
        <f aca="false">IF(AND(ISNUMBER($M17),Z$5&gt;=$M17,Z$5&lt;=IF($N17="",$L$1,$N17),WEEKDAY(Z$5,2)&lt;6,COUNTIF(휴일!$A$2:$A$2,Z$5)=0),2,IF(AND(ISNUMBER($K17),Z$5&gt;=$K17,Z$5&lt;=$L17,WEEKDAY(Z$5,2)&lt;6,COUNTIF(휴일!$A$2:$A$2,Z$5)=0),1,""))</f>
        <v/>
      </c>
      <c r="AA17" s="33" t="str">
        <f aca="false">IF(AND(ISNUMBER($M17),AA$5&gt;=$M17,AA$5&lt;=IF($N17="",$L$1,$N17),WEEKDAY(AA$5,2)&lt;6,COUNTIF(휴일!$A$2:$A$2,AA$5)=0),2,IF(AND(ISNUMBER($K17),AA$5&gt;=$K17,AA$5&lt;=$L17,WEEKDAY(AA$5,2)&lt;6,COUNTIF(휴일!$A$2:$A$2,AA$5)=0),1,""))</f>
        <v/>
      </c>
      <c r="AB17" s="33" t="str">
        <f aca="false">IF(AND(ISNUMBER($M17),AB$5&gt;=$M17,AB$5&lt;=IF($N17="",$L$1,$N17),WEEKDAY(AB$5,2)&lt;6,COUNTIF(휴일!$A$2:$A$2,AB$5)=0),2,IF(AND(ISNUMBER($K17),AB$5&gt;=$K17,AB$5&lt;=$L17,WEEKDAY(AB$5,2)&lt;6,COUNTIF(휴일!$A$2:$A$2,AB$5)=0),1,""))</f>
        <v/>
      </c>
      <c r="AC17" s="32" t="n">
        <f aca="false">IF(AND(ISNUMBER($M17),AC$5&gt;=$M17,AC$5&lt;=IF($N17="",$L$1,$N17),WEEKDAY(AC$5,2)&lt;6,COUNTIF(휴일!$A$2:$A$2,AC$5)=0),2,IF(AND(ISNUMBER($K17),AC$5&gt;=$K17,AC$5&lt;=$L17,WEEKDAY(AC$5,2)&lt;6,COUNTIF(휴일!$A$2:$A$2,AC$5)=0),1,""))</f>
        <v>2</v>
      </c>
      <c r="AD17" s="32" t="str">
        <f aca="false">IF(AND(ISNUMBER($M17),AD$5&gt;=$M17,AD$5&lt;=IF($N17="",$L$1,$N17),WEEKDAY(AD$5,2)&lt;6,COUNTIF(휴일!$A$2:$A$2,AD$5)=0),2,IF(AND(ISNUMBER($K17),AD$5&gt;=$K17,AD$5&lt;=$L17,WEEKDAY(AD$5,2)&lt;6,COUNTIF(휴일!$A$2:$A$2,AD$5)=0),1,""))</f>
        <v/>
      </c>
      <c r="AE17" s="32" t="str">
        <f aca="false">IF(AND(ISNUMBER($M17),AE$5&gt;=$M17,AE$5&lt;=IF($N17="",$L$1,$N17),WEEKDAY(AE$5,2)&lt;6,COUNTIF(휴일!$A$2:$A$2,AE$5)=0),2,IF(AND(ISNUMBER($K17),AE$5&gt;=$K17,AE$5&lt;=$L17,WEEKDAY(AE$5,2)&lt;6,COUNTIF(휴일!$A$2:$A$2,AE$5)=0),1,""))</f>
        <v/>
      </c>
      <c r="AF17" s="25" t="s">
        <v>36</v>
      </c>
      <c r="AG17" s="26"/>
      <c r="AH17" s="26"/>
    </row>
    <row r="18" customFormat="false" ht="54" hidden="false" customHeight="true" outlineLevel="0" collapsed="false">
      <c r="A18" s="2"/>
      <c r="B18" s="14"/>
      <c r="C18" s="14"/>
      <c r="D18" s="16"/>
      <c r="E18" s="16"/>
      <c r="F18" s="27" t="s">
        <v>60</v>
      </c>
      <c r="G18" s="27"/>
      <c r="H18" s="27" t="s">
        <v>34</v>
      </c>
      <c r="I18" s="27" t="s">
        <v>33</v>
      </c>
      <c r="J18" s="27" t="s">
        <v>61</v>
      </c>
      <c r="K18" s="28" t="n">
        <v>46302</v>
      </c>
      <c r="L18" s="28" t="n">
        <v>46302</v>
      </c>
      <c r="M18" s="34" t="n">
        <v>46303</v>
      </c>
      <c r="N18" s="34" t="n">
        <v>46307</v>
      </c>
      <c r="O18" s="29" t="n">
        <f aca="false">IF(OR(K18="",L18=""),"",IF(L18&lt;K18,"날짜 확인",NETWORKDAYS(K18,L18,휴일!$A$2:$A$2)))</f>
        <v>1</v>
      </c>
      <c r="P18" s="29" t="n">
        <f aca="false">IF(OR(M18="",N18=""),"",IF(N18&lt;M18,"날짜 확인",NETWORKDAYS(M18,N18,휴일!$A$2:$A$2)))</f>
        <v>2</v>
      </c>
      <c r="Q18" s="29" t="n">
        <f aca="false">IF(O18="","",IF($L$1&lt;K18,0,NETWORKDAYS(K18,MIN($L$1,L18),휴일!$A$2:$A$2)))</f>
        <v>1</v>
      </c>
      <c r="R18" s="29" t="n">
        <f aca="false">IF(M18="","",IF($L$1&lt;M18,0,NETWORKDAYS(M18,IF(N18="",$L$1,MIN($L$1,N18)),휴일!$A$2:$A$2)))</f>
        <v>2</v>
      </c>
      <c r="S18" s="30" t="n">
        <f aca="false">IF(O18="","",IF(O18=0,0,Q18/O18))</f>
        <v>1</v>
      </c>
      <c r="T18" s="31" t="n">
        <f aca="false">IF(OR(AND(AG18&lt;&gt;"",OR(NOT(ISNUMBER(AG18)),AG18&lt;=0)),AND(AH18&lt;&gt;"",OR(NOT(ISNUMBER(AH18)),AH18&lt;0)),AND(ISNUMBER(AG18),ISNUMBER(AH18),AH18&gt;AG18)),"수량 확인",IF(AF18="완료",1,IF(AF18="미착수",0,IF(AND(ISNUMBER(AG18),ISNUMBER(AH18)),AH18/AG18,""))))</f>
        <v>1</v>
      </c>
      <c r="U18" s="30" t="n">
        <f aca="false">IF(T18="","",T18)</f>
        <v>1</v>
      </c>
      <c r="V18" s="30" t="n">
        <f aca="false">IF(OR(U18="",S18=""),"",U18-S18)</f>
        <v>0</v>
      </c>
      <c r="W18" s="32" t="str">
        <f aca="false">IF(AND(ISNUMBER($M18),W$5&gt;=$M18,W$5&lt;=IF($N18="",$L$1,$N18),WEEKDAY(W$5,2)&lt;6,COUNTIF(휴일!$A$2:$A$2,W$5)=0),2,IF(AND(ISNUMBER($K18),W$5&gt;=$K18,W$5&lt;=$L18,WEEKDAY(W$5,2)&lt;6,COUNTIF(휴일!$A$2:$A$2,W$5)=0),1,""))</f>
        <v/>
      </c>
      <c r="X18" s="32" t="n">
        <f aca="false">IF(AND(ISNUMBER($M18),X$5&gt;=$M18,X$5&lt;=IF($N18="",$L$1,$N18),WEEKDAY(X$5,2)&lt;6,COUNTIF(휴일!$A$2:$A$2,X$5)=0),2,IF(AND(ISNUMBER($K18),X$5&gt;=$K18,X$5&lt;=$L18,WEEKDAY(X$5,2)&lt;6,COUNTIF(휴일!$A$2:$A$2,X$5)=0),1,""))</f>
        <v>1</v>
      </c>
      <c r="Y18" s="32" t="n">
        <f aca="false">IF(AND(ISNUMBER($M18),Y$5&gt;=$M18,Y$5&lt;=IF($N18="",$L$1,$N18),WEEKDAY(Y$5,2)&lt;6,COUNTIF(휴일!$A$2:$A$2,Y$5)=0),2,IF(AND(ISNUMBER($K18),Y$5&gt;=$K18,Y$5&lt;=$L18,WEEKDAY(Y$5,2)&lt;6,COUNTIF(휴일!$A$2:$A$2,Y$5)=0),1,""))</f>
        <v>2</v>
      </c>
      <c r="Z18" s="33" t="str">
        <f aca="false">IF(AND(ISNUMBER($M18),Z$5&gt;=$M18,Z$5&lt;=IF($N18="",$L$1,$N18),WEEKDAY(Z$5,2)&lt;6,COUNTIF(휴일!$A$2:$A$2,Z$5)=0),2,IF(AND(ISNUMBER($K18),Z$5&gt;=$K18,Z$5&lt;=$L18,WEEKDAY(Z$5,2)&lt;6,COUNTIF(휴일!$A$2:$A$2,Z$5)=0),1,""))</f>
        <v/>
      </c>
      <c r="AA18" s="33" t="str">
        <f aca="false">IF(AND(ISNUMBER($M18),AA$5&gt;=$M18,AA$5&lt;=IF($N18="",$L$1,$N18),WEEKDAY(AA$5,2)&lt;6,COUNTIF(휴일!$A$2:$A$2,AA$5)=0),2,IF(AND(ISNUMBER($K18),AA$5&gt;=$K18,AA$5&lt;=$L18,WEEKDAY(AA$5,2)&lt;6,COUNTIF(휴일!$A$2:$A$2,AA$5)=0),1,""))</f>
        <v/>
      </c>
      <c r="AB18" s="33" t="str">
        <f aca="false">IF(AND(ISNUMBER($M18),AB$5&gt;=$M18,AB$5&lt;=IF($N18="",$L$1,$N18),WEEKDAY(AB$5,2)&lt;6,COUNTIF(휴일!$A$2:$A$2,AB$5)=0),2,IF(AND(ISNUMBER($K18),AB$5&gt;=$K18,AB$5&lt;=$L18,WEEKDAY(AB$5,2)&lt;6,COUNTIF(휴일!$A$2:$A$2,AB$5)=0),1,""))</f>
        <v/>
      </c>
      <c r="AC18" s="32" t="n">
        <f aca="false">IF(AND(ISNUMBER($M18),AC$5&gt;=$M18,AC$5&lt;=IF($N18="",$L$1,$N18),WEEKDAY(AC$5,2)&lt;6,COUNTIF(휴일!$A$2:$A$2,AC$5)=0),2,IF(AND(ISNUMBER($K18),AC$5&gt;=$K18,AC$5&lt;=$L18,WEEKDAY(AC$5,2)&lt;6,COUNTIF(휴일!$A$2:$A$2,AC$5)=0),1,""))</f>
        <v>2</v>
      </c>
      <c r="AD18" s="32" t="str">
        <f aca="false">IF(AND(ISNUMBER($M18),AD$5&gt;=$M18,AD$5&lt;=IF($N18="",$L$1,$N18),WEEKDAY(AD$5,2)&lt;6,COUNTIF(휴일!$A$2:$A$2,AD$5)=0),2,IF(AND(ISNUMBER($K18),AD$5&gt;=$K18,AD$5&lt;=$L18,WEEKDAY(AD$5,2)&lt;6,COUNTIF(휴일!$A$2:$A$2,AD$5)=0),1,""))</f>
        <v/>
      </c>
      <c r="AE18" s="32" t="str">
        <f aca="false">IF(AND(ISNUMBER($M18),AE$5&gt;=$M18,AE$5&lt;=IF($N18="",$L$1,$N18),WEEKDAY(AE$5,2)&lt;6,COUNTIF(휴일!$A$2:$A$2,AE$5)=0),2,IF(AND(ISNUMBER($K18),AE$5&gt;=$K18,AE$5&lt;=$L18,WEEKDAY(AE$5,2)&lt;6,COUNTIF(휴일!$A$2:$A$2,AE$5)=0),1,""))</f>
        <v/>
      </c>
      <c r="AF18" s="25" t="s">
        <v>36</v>
      </c>
      <c r="AG18" s="26"/>
      <c r="AH18" s="26"/>
    </row>
    <row r="19" customFormat="false" ht="54" hidden="false" customHeight="true" outlineLevel="0" collapsed="false">
      <c r="A19" s="2"/>
      <c r="B19" s="14"/>
      <c r="C19" s="14"/>
      <c r="D19" s="16"/>
      <c r="E19" s="16"/>
      <c r="F19" s="27" t="s">
        <v>62</v>
      </c>
      <c r="G19" s="27"/>
      <c r="H19" s="27" t="s">
        <v>34</v>
      </c>
      <c r="I19" s="27" t="s">
        <v>33</v>
      </c>
      <c r="J19" s="27" t="s">
        <v>63</v>
      </c>
      <c r="K19" s="28" t="n">
        <v>46302</v>
      </c>
      <c r="L19" s="28" t="n">
        <v>46302</v>
      </c>
      <c r="M19" s="34" t="n">
        <v>46302</v>
      </c>
      <c r="N19" s="34" t="n">
        <v>46302</v>
      </c>
      <c r="O19" s="29" t="n">
        <f aca="false">IF(OR(K19="",L19=""),"",IF(L19&lt;K19,"날짜 확인",NETWORKDAYS(K19,L19,휴일!$A$2:$A$2)))</f>
        <v>1</v>
      </c>
      <c r="P19" s="29" t="n">
        <f aca="false">IF(OR(M19="",N19=""),"",IF(N19&lt;M19,"날짜 확인",NETWORKDAYS(M19,N19,휴일!$A$2:$A$2)))</f>
        <v>1</v>
      </c>
      <c r="Q19" s="29" t="n">
        <f aca="false">IF(O19="","",IF($L$1&lt;K19,0,NETWORKDAYS(K19,MIN($L$1,L19),휴일!$A$2:$A$2)))</f>
        <v>1</v>
      </c>
      <c r="R19" s="29" t="n">
        <f aca="false">IF(M19="","",IF($L$1&lt;M19,0,NETWORKDAYS(M19,IF(N19="",$L$1,MIN($L$1,N19)),휴일!$A$2:$A$2)))</f>
        <v>1</v>
      </c>
      <c r="S19" s="30" t="n">
        <f aca="false">IF(O19="","",IF(O19=0,0,Q19/O19))</f>
        <v>1</v>
      </c>
      <c r="T19" s="31" t="n">
        <f aca="false">IF(OR(AND(AG19&lt;&gt;"",OR(NOT(ISNUMBER(AG19)),AG19&lt;=0)),AND(AH19&lt;&gt;"",OR(NOT(ISNUMBER(AH19)),AH19&lt;0)),AND(ISNUMBER(AG19),ISNUMBER(AH19),AH19&gt;AG19)),"수량 확인",IF(AF19="완료",1,IF(AF19="미착수",0,IF(AND(ISNUMBER(AG19),ISNUMBER(AH19)),AH19/AG19,""))))</f>
        <v>1</v>
      </c>
      <c r="U19" s="30" t="n">
        <f aca="false">IF(T19="","",T19)</f>
        <v>1</v>
      </c>
      <c r="V19" s="30" t="n">
        <f aca="false">IF(OR(U19="",S19=""),"",U19-S19)</f>
        <v>0</v>
      </c>
      <c r="W19" s="32" t="str">
        <f aca="false">IF(AND(ISNUMBER($M19),W$5&gt;=$M19,W$5&lt;=IF($N19="",$L$1,$N19),WEEKDAY(W$5,2)&lt;6,COUNTIF(휴일!$A$2:$A$2,W$5)=0),2,IF(AND(ISNUMBER($K19),W$5&gt;=$K19,W$5&lt;=$L19,WEEKDAY(W$5,2)&lt;6,COUNTIF(휴일!$A$2:$A$2,W$5)=0),1,""))</f>
        <v/>
      </c>
      <c r="X19" s="32" t="n">
        <f aca="false">IF(AND(ISNUMBER($M19),X$5&gt;=$M19,X$5&lt;=IF($N19="",$L$1,$N19),WEEKDAY(X$5,2)&lt;6,COUNTIF(휴일!$A$2:$A$2,X$5)=0),2,IF(AND(ISNUMBER($K19),X$5&gt;=$K19,X$5&lt;=$L19,WEEKDAY(X$5,2)&lt;6,COUNTIF(휴일!$A$2:$A$2,X$5)=0),1,""))</f>
        <v>2</v>
      </c>
      <c r="Y19" s="32" t="str">
        <f aca="false">IF(AND(ISNUMBER($M19),Y$5&gt;=$M19,Y$5&lt;=IF($N19="",$L$1,$N19),WEEKDAY(Y$5,2)&lt;6,COUNTIF(휴일!$A$2:$A$2,Y$5)=0),2,IF(AND(ISNUMBER($K19),Y$5&gt;=$K19,Y$5&lt;=$L19,WEEKDAY(Y$5,2)&lt;6,COUNTIF(휴일!$A$2:$A$2,Y$5)=0),1,""))</f>
        <v/>
      </c>
      <c r="Z19" s="33" t="str">
        <f aca="false">IF(AND(ISNUMBER($M19),Z$5&gt;=$M19,Z$5&lt;=IF($N19="",$L$1,$N19),WEEKDAY(Z$5,2)&lt;6,COUNTIF(휴일!$A$2:$A$2,Z$5)=0),2,IF(AND(ISNUMBER($K19),Z$5&gt;=$K19,Z$5&lt;=$L19,WEEKDAY(Z$5,2)&lt;6,COUNTIF(휴일!$A$2:$A$2,Z$5)=0),1,""))</f>
        <v/>
      </c>
      <c r="AA19" s="33" t="str">
        <f aca="false">IF(AND(ISNUMBER($M19),AA$5&gt;=$M19,AA$5&lt;=IF($N19="",$L$1,$N19),WEEKDAY(AA$5,2)&lt;6,COUNTIF(휴일!$A$2:$A$2,AA$5)=0),2,IF(AND(ISNUMBER($K19),AA$5&gt;=$K19,AA$5&lt;=$L19,WEEKDAY(AA$5,2)&lt;6,COUNTIF(휴일!$A$2:$A$2,AA$5)=0),1,""))</f>
        <v/>
      </c>
      <c r="AB19" s="33" t="str">
        <f aca="false">IF(AND(ISNUMBER($M19),AB$5&gt;=$M19,AB$5&lt;=IF($N19="",$L$1,$N19),WEEKDAY(AB$5,2)&lt;6,COUNTIF(휴일!$A$2:$A$2,AB$5)=0),2,IF(AND(ISNUMBER($K19),AB$5&gt;=$K19,AB$5&lt;=$L19,WEEKDAY(AB$5,2)&lt;6,COUNTIF(휴일!$A$2:$A$2,AB$5)=0),1,""))</f>
        <v/>
      </c>
      <c r="AC19" s="32" t="str">
        <f aca="false">IF(AND(ISNUMBER($M19),AC$5&gt;=$M19,AC$5&lt;=IF($N19="",$L$1,$N19),WEEKDAY(AC$5,2)&lt;6,COUNTIF(휴일!$A$2:$A$2,AC$5)=0),2,IF(AND(ISNUMBER($K19),AC$5&gt;=$K19,AC$5&lt;=$L19,WEEKDAY(AC$5,2)&lt;6,COUNTIF(휴일!$A$2:$A$2,AC$5)=0),1,""))</f>
        <v/>
      </c>
      <c r="AD19" s="32" t="str">
        <f aca="false">IF(AND(ISNUMBER($M19),AD$5&gt;=$M19,AD$5&lt;=IF($N19="",$L$1,$N19),WEEKDAY(AD$5,2)&lt;6,COUNTIF(휴일!$A$2:$A$2,AD$5)=0),2,IF(AND(ISNUMBER($K19),AD$5&gt;=$K19,AD$5&lt;=$L19,WEEKDAY(AD$5,2)&lt;6,COUNTIF(휴일!$A$2:$A$2,AD$5)=0),1,""))</f>
        <v/>
      </c>
      <c r="AE19" s="32" t="str">
        <f aca="false">IF(AND(ISNUMBER($M19),AE$5&gt;=$M19,AE$5&lt;=IF($N19="",$L$1,$N19),WEEKDAY(AE$5,2)&lt;6,COUNTIF(휴일!$A$2:$A$2,AE$5)=0),2,IF(AND(ISNUMBER($K19),AE$5&gt;=$K19,AE$5&lt;=$L19,WEEKDAY(AE$5,2)&lt;6,COUNTIF(휴일!$A$2:$A$2,AE$5)=0),1,""))</f>
        <v/>
      </c>
      <c r="AF19" s="25" t="s">
        <v>36</v>
      </c>
      <c r="AG19" s="26"/>
      <c r="AH19" s="26"/>
    </row>
    <row r="20" customFormat="false" ht="69.75" hidden="false" customHeight="true" outlineLevel="0" collapsed="false">
      <c r="A20" s="2"/>
      <c r="B20" s="14"/>
      <c r="C20" s="14"/>
      <c r="D20" s="16"/>
      <c r="E20" s="16"/>
      <c r="F20" s="27" t="s">
        <v>64</v>
      </c>
      <c r="G20" s="27"/>
      <c r="H20" s="27" t="s">
        <v>33</v>
      </c>
      <c r="I20" s="27" t="s">
        <v>34</v>
      </c>
      <c r="J20" s="27" t="s">
        <v>65</v>
      </c>
      <c r="K20" s="28" t="n">
        <v>46302</v>
      </c>
      <c r="L20" s="28" t="n">
        <v>46302</v>
      </c>
      <c r="M20" s="34" t="n">
        <v>46303</v>
      </c>
      <c r="N20" s="34" t="n">
        <v>46307</v>
      </c>
      <c r="O20" s="29" t="n">
        <f aca="false">IF(OR(K20="",L20=""),"",IF(L20&lt;K20,"날짜 확인",NETWORKDAYS(K20,L20,휴일!$A$2:$A$2)))</f>
        <v>1</v>
      </c>
      <c r="P20" s="29" t="n">
        <f aca="false">IF(OR(M20="",N20=""),"",IF(N20&lt;M20,"날짜 확인",NETWORKDAYS(M20,N20,휴일!$A$2:$A$2)))</f>
        <v>2</v>
      </c>
      <c r="Q20" s="29" t="n">
        <f aca="false">IF(O20="","",IF($L$1&lt;K20,0,NETWORKDAYS(K20,MIN($L$1,L20),휴일!$A$2:$A$2)))</f>
        <v>1</v>
      </c>
      <c r="R20" s="29" t="n">
        <f aca="false">IF(M20="","",IF($L$1&lt;M20,0,NETWORKDAYS(M20,IF(N20="",$L$1,MIN($L$1,N20)),휴일!$A$2:$A$2)))</f>
        <v>2</v>
      </c>
      <c r="S20" s="30" t="n">
        <f aca="false">IF(O20="","",IF(O20=0,0,Q20/O20))</f>
        <v>1</v>
      </c>
      <c r="T20" s="31" t="n">
        <f aca="false">IF(OR(AND(AG20&lt;&gt;"",OR(NOT(ISNUMBER(AG20)),AG20&lt;=0)),AND(AH20&lt;&gt;"",OR(NOT(ISNUMBER(AH20)),AH20&lt;0)),AND(ISNUMBER(AG20),ISNUMBER(AH20),AH20&gt;AG20)),"수량 확인",IF(AF20="완료",1,IF(AF20="미착수",0,IF(AND(ISNUMBER(AG20),ISNUMBER(AH20)),AH20/AG20,""))))</f>
        <v>1</v>
      </c>
      <c r="U20" s="30" t="n">
        <f aca="false">IF(T20="","",T20)</f>
        <v>1</v>
      </c>
      <c r="V20" s="30" t="n">
        <f aca="false">IF(OR(U20="",S20=""),"",U20-S20)</f>
        <v>0</v>
      </c>
      <c r="W20" s="32" t="str">
        <f aca="false">IF(AND(ISNUMBER($M20),W$5&gt;=$M20,W$5&lt;=IF($N20="",$L$1,$N20),WEEKDAY(W$5,2)&lt;6,COUNTIF(휴일!$A$2:$A$2,W$5)=0),2,IF(AND(ISNUMBER($K20),W$5&gt;=$K20,W$5&lt;=$L20,WEEKDAY(W$5,2)&lt;6,COUNTIF(휴일!$A$2:$A$2,W$5)=0),1,""))</f>
        <v/>
      </c>
      <c r="X20" s="32" t="n">
        <f aca="false">IF(AND(ISNUMBER($M20),X$5&gt;=$M20,X$5&lt;=IF($N20="",$L$1,$N20),WEEKDAY(X$5,2)&lt;6,COUNTIF(휴일!$A$2:$A$2,X$5)=0),2,IF(AND(ISNUMBER($K20),X$5&gt;=$K20,X$5&lt;=$L20,WEEKDAY(X$5,2)&lt;6,COUNTIF(휴일!$A$2:$A$2,X$5)=0),1,""))</f>
        <v>1</v>
      </c>
      <c r="Y20" s="32" t="n">
        <f aca="false">IF(AND(ISNUMBER($M20),Y$5&gt;=$M20,Y$5&lt;=IF($N20="",$L$1,$N20),WEEKDAY(Y$5,2)&lt;6,COUNTIF(휴일!$A$2:$A$2,Y$5)=0),2,IF(AND(ISNUMBER($K20),Y$5&gt;=$K20,Y$5&lt;=$L20,WEEKDAY(Y$5,2)&lt;6,COUNTIF(휴일!$A$2:$A$2,Y$5)=0),1,""))</f>
        <v>2</v>
      </c>
      <c r="Z20" s="33" t="str">
        <f aca="false">IF(AND(ISNUMBER($M20),Z$5&gt;=$M20,Z$5&lt;=IF($N20="",$L$1,$N20),WEEKDAY(Z$5,2)&lt;6,COUNTIF(휴일!$A$2:$A$2,Z$5)=0),2,IF(AND(ISNUMBER($K20),Z$5&gt;=$K20,Z$5&lt;=$L20,WEEKDAY(Z$5,2)&lt;6,COUNTIF(휴일!$A$2:$A$2,Z$5)=0),1,""))</f>
        <v/>
      </c>
      <c r="AA20" s="33" t="str">
        <f aca="false">IF(AND(ISNUMBER($M20),AA$5&gt;=$M20,AA$5&lt;=IF($N20="",$L$1,$N20),WEEKDAY(AA$5,2)&lt;6,COUNTIF(휴일!$A$2:$A$2,AA$5)=0),2,IF(AND(ISNUMBER($K20),AA$5&gt;=$K20,AA$5&lt;=$L20,WEEKDAY(AA$5,2)&lt;6,COUNTIF(휴일!$A$2:$A$2,AA$5)=0),1,""))</f>
        <v/>
      </c>
      <c r="AB20" s="33" t="str">
        <f aca="false">IF(AND(ISNUMBER($M20),AB$5&gt;=$M20,AB$5&lt;=IF($N20="",$L$1,$N20),WEEKDAY(AB$5,2)&lt;6,COUNTIF(휴일!$A$2:$A$2,AB$5)=0),2,IF(AND(ISNUMBER($K20),AB$5&gt;=$K20,AB$5&lt;=$L20,WEEKDAY(AB$5,2)&lt;6,COUNTIF(휴일!$A$2:$A$2,AB$5)=0),1,""))</f>
        <v/>
      </c>
      <c r="AC20" s="32" t="n">
        <f aca="false">IF(AND(ISNUMBER($M20),AC$5&gt;=$M20,AC$5&lt;=IF($N20="",$L$1,$N20),WEEKDAY(AC$5,2)&lt;6,COUNTIF(휴일!$A$2:$A$2,AC$5)=0),2,IF(AND(ISNUMBER($K20),AC$5&gt;=$K20,AC$5&lt;=$L20,WEEKDAY(AC$5,2)&lt;6,COUNTIF(휴일!$A$2:$A$2,AC$5)=0),1,""))</f>
        <v>2</v>
      </c>
      <c r="AD20" s="32" t="str">
        <f aca="false">IF(AND(ISNUMBER($M20),AD$5&gt;=$M20,AD$5&lt;=IF($N20="",$L$1,$N20),WEEKDAY(AD$5,2)&lt;6,COUNTIF(휴일!$A$2:$A$2,AD$5)=0),2,IF(AND(ISNUMBER($K20),AD$5&gt;=$K20,AD$5&lt;=$L20,WEEKDAY(AD$5,2)&lt;6,COUNTIF(휴일!$A$2:$A$2,AD$5)=0),1,""))</f>
        <v/>
      </c>
      <c r="AE20" s="32" t="str">
        <f aca="false">IF(AND(ISNUMBER($M20),AE$5&gt;=$M20,AE$5&lt;=IF($N20="",$L$1,$N20),WEEKDAY(AE$5,2)&lt;6,COUNTIF(휴일!$A$2:$A$2,AE$5)=0),2,IF(AND(ISNUMBER($K20),AE$5&gt;=$K20,AE$5&lt;=$L20,WEEKDAY(AE$5,2)&lt;6,COUNTIF(휴일!$A$2:$A$2,AE$5)=0),1,""))</f>
        <v/>
      </c>
      <c r="AF20" s="25" t="s">
        <v>36</v>
      </c>
      <c r="AG20" s="26"/>
      <c r="AH20" s="26"/>
    </row>
    <row r="21" customFormat="false" ht="54" hidden="false" customHeight="true" outlineLevel="0" collapsed="false">
      <c r="A21" s="2"/>
      <c r="B21" s="14"/>
      <c r="C21" s="14"/>
      <c r="D21" s="16"/>
      <c r="E21" s="16"/>
      <c r="F21" s="27" t="s">
        <v>66</v>
      </c>
      <c r="G21" s="27"/>
      <c r="H21" s="27" t="s">
        <v>33</v>
      </c>
      <c r="I21" s="27" t="s">
        <v>34</v>
      </c>
      <c r="J21" s="27" t="s">
        <v>67</v>
      </c>
      <c r="K21" s="28" t="n">
        <v>46302</v>
      </c>
      <c r="L21" s="28" t="n">
        <v>46302</v>
      </c>
      <c r="M21" s="34" t="n">
        <v>46303</v>
      </c>
      <c r="N21" s="34" t="n">
        <v>46303</v>
      </c>
      <c r="O21" s="29" t="n">
        <f aca="false">IF(OR(K21="",L21=""),"",IF(L21&lt;K21,"날짜 확인",NETWORKDAYS(K21,L21,휴일!$A$2:$A$2)))</f>
        <v>1</v>
      </c>
      <c r="P21" s="29" t="n">
        <f aca="false">IF(OR(M21="",N21=""),"",IF(N21&lt;M21,"날짜 확인",NETWORKDAYS(M21,N21,휴일!$A$2:$A$2)))</f>
        <v>1</v>
      </c>
      <c r="Q21" s="29" t="n">
        <f aca="false">IF(O21="","",IF($L$1&lt;K21,0,NETWORKDAYS(K21,MIN($L$1,L21),휴일!$A$2:$A$2)))</f>
        <v>1</v>
      </c>
      <c r="R21" s="29" t="n">
        <f aca="false">IF(M21="","",IF($L$1&lt;M21,0,NETWORKDAYS(M21,IF(N21="",$L$1,MIN($L$1,N21)),휴일!$A$2:$A$2)))</f>
        <v>1</v>
      </c>
      <c r="S21" s="30" t="n">
        <f aca="false">IF(O21="","",IF(O21=0,0,Q21/O21))</f>
        <v>1</v>
      </c>
      <c r="T21" s="31" t="n">
        <f aca="false">IF(OR(AND(AG21&lt;&gt;"",OR(NOT(ISNUMBER(AG21)),AG21&lt;=0)),AND(AH21&lt;&gt;"",OR(NOT(ISNUMBER(AH21)),AH21&lt;0)),AND(ISNUMBER(AG21),ISNUMBER(AH21),AH21&gt;AG21)),"수량 확인",IF(AF21="완료",1,IF(AF21="미착수",0,IF(AND(ISNUMBER(AG21),ISNUMBER(AH21)),AH21/AG21,""))))</f>
        <v>1</v>
      </c>
      <c r="U21" s="30" t="n">
        <f aca="false">IF(T21="","",T21)</f>
        <v>1</v>
      </c>
      <c r="V21" s="30" t="n">
        <f aca="false">IF(OR(U21="",S21=""),"",U21-S21)</f>
        <v>0</v>
      </c>
      <c r="W21" s="32" t="str">
        <f aca="false">IF(AND(ISNUMBER($M21),W$5&gt;=$M21,W$5&lt;=IF($N21="",$L$1,$N21),WEEKDAY(W$5,2)&lt;6,COUNTIF(휴일!$A$2:$A$2,W$5)=0),2,IF(AND(ISNUMBER($K21),W$5&gt;=$K21,W$5&lt;=$L21,WEEKDAY(W$5,2)&lt;6,COUNTIF(휴일!$A$2:$A$2,W$5)=0),1,""))</f>
        <v/>
      </c>
      <c r="X21" s="32" t="n">
        <f aca="false">IF(AND(ISNUMBER($M21),X$5&gt;=$M21,X$5&lt;=IF($N21="",$L$1,$N21),WEEKDAY(X$5,2)&lt;6,COUNTIF(휴일!$A$2:$A$2,X$5)=0),2,IF(AND(ISNUMBER($K21),X$5&gt;=$K21,X$5&lt;=$L21,WEEKDAY(X$5,2)&lt;6,COUNTIF(휴일!$A$2:$A$2,X$5)=0),1,""))</f>
        <v>1</v>
      </c>
      <c r="Y21" s="32" t="n">
        <f aca="false">IF(AND(ISNUMBER($M21),Y$5&gt;=$M21,Y$5&lt;=IF($N21="",$L$1,$N21),WEEKDAY(Y$5,2)&lt;6,COUNTIF(휴일!$A$2:$A$2,Y$5)=0),2,IF(AND(ISNUMBER($K21),Y$5&gt;=$K21,Y$5&lt;=$L21,WEEKDAY(Y$5,2)&lt;6,COUNTIF(휴일!$A$2:$A$2,Y$5)=0),1,""))</f>
        <v>2</v>
      </c>
      <c r="Z21" s="33" t="str">
        <f aca="false">IF(AND(ISNUMBER($M21),Z$5&gt;=$M21,Z$5&lt;=IF($N21="",$L$1,$N21),WEEKDAY(Z$5,2)&lt;6,COUNTIF(휴일!$A$2:$A$2,Z$5)=0),2,IF(AND(ISNUMBER($K21),Z$5&gt;=$K21,Z$5&lt;=$L21,WEEKDAY(Z$5,2)&lt;6,COUNTIF(휴일!$A$2:$A$2,Z$5)=0),1,""))</f>
        <v/>
      </c>
      <c r="AA21" s="33" t="str">
        <f aca="false">IF(AND(ISNUMBER($M21),AA$5&gt;=$M21,AA$5&lt;=IF($N21="",$L$1,$N21),WEEKDAY(AA$5,2)&lt;6,COUNTIF(휴일!$A$2:$A$2,AA$5)=0),2,IF(AND(ISNUMBER($K21),AA$5&gt;=$K21,AA$5&lt;=$L21,WEEKDAY(AA$5,2)&lt;6,COUNTIF(휴일!$A$2:$A$2,AA$5)=0),1,""))</f>
        <v/>
      </c>
      <c r="AB21" s="33" t="str">
        <f aca="false">IF(AND(ISNUMBER($M21),AB$5&gt;=$M21,AB$5&lt;=IF($N21="",$L$1,$N21),WEEKDAY(AB$5,2)&lt;6,COUNTIF(휴일!$A$2:$A$2,AB$5)=0),2,IF(AND(ISNUMBER($K21),AB$5&gt;=$K21,AB$5&lt;=$L21,WEEKDAY(AB$5,2)&lt;6,COUNTIF(휴일!$A$2:$A$2,AB$5)=0),1,""))</f>
        <v/>
      </c>
      <c r="AC21" s="32" t="str">
        <f aca="false">IF(AND(ISNUMBER($M21),AC$5&gt;=$M21,AC$5&lt;=IF($N21="",$L$1,$N21),WEEKDAY(AC$5,2)&lt;6,COUNTIF(휴일!$A$2:$A$2,AC$5)=0),2,IF(AND(ISNUMBER($K21),AC$5&gt;=$K21,AC$5&lt;=$L21,WEEKDAY(AC$5,2)&lt;6,COUNTIF(휴일!$A$2:$A$2,AC$5)=0),1,""))</f>
        <v/>
      </c>
      <c r="AD21" s="32" t="str">
        <f aca="false">IF(AND(ISNUMBER($M21),AD$5&gt;=$M21,AD$5&lt;=IF($N21="",$L$1,$N21),WEEKDAY(AD$5,2)&lt;6,COUNTIF(휴일!$A$2:$A$2,AD$5)=0),2,IF(AND(ISNUMBER($K21),AD$5&gt;=$K21,AD$5&lt;=$L21,WEEKDAY(AD$5,2)&lt;6,COUNTIF(휴일!$A$2:$A$2,AD$5)=0),1,""))</f>
        <v/>
      </c>
      <c r="AE21" s="32" t="str">
        <f aca="false">IF(AND(ISNUMBER($M21),AE$5&gt;=$M21,AE$5&lt;=IF($N21="",$L$1,$N21),WEEKDAY(AE$5,2)&lt;6,COUNTIF(휴일!$A$2:$A$2,AE$5)=0),2,IF(AND(ISNUMBER($K21),AE$5&gt;=$K21,AE$5&lt;=$L21,WEEKDAY(AE$5,2)&lt;6,COUNTIF(휴일!$A$2:$A$2,AE$5)=0),1,""))</f>
        <v/>
      </c>
      <c r="AF21" s="25" t="s">
        <v>36</v>
      </c>
      <c r="AG21" s="26"/>
      <c r="AH21" s="26"/>
    </row>
    <row r="22" customFormat="false" ht="54" hidden="false" customHeight="true" outlineLevel="0" collapsed="false">
      <c r="A22" s="2"/>
      <c r="B22" s="14"/>
      <c r="C22" s="14"/>
      <c r="D22" s="16"/>
      <c r="E22" s="16"/>
      <c r="F22" s="27" t="s">
        <v>68</v>
      </c>
      <c r="G22" s="27"/>
      <c r="H22" s="27" t="s">
        <v>34</v>
      </c>
      <c r="I22" s="27" t="s">
        <v>33</v>
      </c>
      <c r="J22" s="27" t="s">
        <v>69</v>
      </c>
      <c r="K22" s="28" t="n">
        <v>46302</v>
      </c>
      <c r="L22" s="28" t="n">
        <v>46302</v>
      </c>
      <c r="M22" s="34" t="n">
        <v>46303</v>
      </c>
      <c r="N22" s="34" t="n">
        <v>46303</v>
      </c>
      <c r="O22" s="29" t="n">
        <f aca="false">IF(OR(K22="",L22=""),"",IF(L22&lt;K22,"날짜 확인",NETWORKDAYS(K22,L22,휴일!$A$2:$A$2)))</f>
        <v>1</v>
      </c>
      <c r="P22" s="29" t="n">
        <f aca="false">IF(OR(M22="",N22=""),"",IF(N22&lt;M22,"날짜 확인",NETWORKDAYS(M22,N22,휴일!$A$2:$A$2)))</f>
        <v>1</v>
      </c>
      <c r="Q22" s="29" t="n">
        <f aca="false">IF(O22="","",IF($L$1&lt;K22,0,NETWORKDAYS(K22,MIN($L$1,L22),휴일!$A$2:$A$2)))</f>
        <v>1</v>
      </c>
      <c r="R22" s="29" t="n">
        <f aca="false">IF(M22="","",IF($L$1&lt;M22,0,NETWORKDAYS(M22,IF(N22="",$L$1,MIN($L$1,N22)),휴일!$A$2:$A$2)))</f>
        <v>1</v>
      </c>
      <c r="S22" s="30" t="n">
        <f aca="false">IF(O22="","",IF(O22=0,0,Q22/O22))</f>
        <v>1</v>
      </c>
      <c r="T22" s="31" t="n">
        <f aca="false">IF(OR(AND(AG22&lt;&gt;"",OR(NOT(ISNUMBER(AG22)),AG22&lt;=0)),AND(AH22&lt;&gt;"",OR(NOT(ISNUMBER(AH22)),AH22&lt;0)),AND(ISNUMBER(AG22),ISNUMBER(AH22),AH22&gt;AG22)),"수량 확인",IF(AF22="완료",1,IF(AF22="미착수",0,IF(AND(ISNUMBER(AG22),ISNUMBER(AH22)),AH22/AG22,""))))</f>
        <v>1</v>
      </c>
      <c r="U22" s="30" t="n">
        <f aca="false">IF(T22="","",T22)</f>
        <v>1</v>
      </c>
      <c r="V22" s="30" t="n">
        <f aca="false">IF(OR(U22="",S22=""),"",U22-S22)</f>
        <v>0</v>
      </c>
      <c r="W22" s="32" t="str">
        <f aca="false">IF(AND(ISNUMBER($M22),W$5&gt;=$M22,W$5&lt;=IF($N22="",$L$1,$N22),WEEKDAY(W$5,2)&lt;6,COUNTIF(휴일!$A$2:$A$2,W$5)=0),2,IF(AND(ISNUMBER($K22),W$5&gt;=$K22,W$5&lt;=$L22,WEEKDAY(W$5,2)&lt;6,COUNTIF(휴일!$A$2:$A$2,W$5)=0),1,""))</f>
        <v/>
      </c>
      <c r="X22" s="32" t="n">
        <f aca="false">IF(AND(ISNUMBER($M22),X$5&gt;=$M22,X$5&lt;=IF($N22="",$L$1,$N22),WEEKDAY(X$5,2)&lt;6,COUNTIF(휴일!$A$2:$A$2,X$5)=0),2,IF(AND(ISNUMBER($K22),X$5&gt;=$K22,X$5&lt;=$L22,WEEKDAY(X$5,2)&lt;6,COUNTIF(휴일!$A$2:$A$2,X$5)=0),1,""))</f>
        <v>1</v>
      </c>
      <c r="Y22" s="32" t="n">
        <f aca="false">IF(AND(ISNUMBER($M22),Y$5&gt;=$M22,Y$5&lt;=IF($N22="",$L$1,$N22),WEEKDAY(Y$5,2)&lt;6,COUNTIF(휴일!$A$2:$A$2,Y$5)=0),2,IF(AND(ISNUMBER($K22),Y$5&gt;=$K22,Y$5&lt;=$L22,WEEKDAY(Y$5,2)&lt;6,COUNTIF(휴일!$A$2:$A$2,Y$5)=0),1,""))</f>
        <v>2</v>
      </c>
      <c r="Z22" s="33" t="str">
        <f aca="false">IF(AND(ISNUMBER($M22),Z$5&gt;=$M22,Z$5&lt;=IF($N22="",$L$1,$N22),WEEKDAY(Z$5,2)&lt;6,COUNTIF(휴일!$A$2:$A$2,Z$5)=0),2,IF(AND(ISNUMBER($K22),Z$5&gt;=$K22,Z$5&lt;=$L22,WEEKDAY(Z$5,2)&lt;6,COUNTIF(휴일!$A$2:$A$2,Z$5)=0),1,""))</f>
        <v/>
      </c>
      <c r="AA22" s="33" t="str">
        <f aca="false">IF(AND(ISNUMBER($M22),AA$5&gt;=$M22,AA$5&lt;=IF($N22="",$L$1,$N22),WEEKDAY(AA$5,2)&lt;6,COUNTIF(휴일!$A$2:$A$2,AA$5)=0),2,IF(AND(ISNUMBER($K22),AA$5&gt;=$K22,AA$5&lt;=$L22,WEEKDAY(AA$5,2)&lt;6,COUNTIF(휴일!$A$2:$A$2,AA$5)=0),1,""))</f>
        <v/>
      </c>
      <c r="AB22" s="33" t="str">
        <f aca="false">IF(AND(ISNUMBER($M22),AB$5&gt;=$M22,AB$5&lt;=IF($N22="",$L$1,$N22),WEEKDAY(AB$5,2)&lt;6,COUNTIF(휴일!$A$2:$A$2,AB$5)=0),2,IF(AND(ISNUMBER($K22),AB$5&gt;=$K22,AB$5&lt;=$L22,WEEKDAY(AB$5,2)&lt;6,COUNTIF(휴일!$A$2:$A$2,AB$5)=0),1,""))</f>
        <v/>
      </c>
      <c r="AC22" s="32" t="str">
        <f aca="false">IF(AND(ISNUMBER($M22),AC$5&gt;=$M22,AC$5&lt;=IF($N22="",$L$1,$N22),WEEKDAY(AC$5,2)&lt;6,COUNTIF(휴일!$A$2:$A$2,AC$5)=0),2,IF(AND(ISNUMBER($K22),AC$5&gt;=$K22,AC$5&lt;=$L22,WEEKDAY(AC$5,2)&lt;6,COUNTIF(휴일!$A$2:$A$2,AC$5)=0),1,""))</f>
        <v/>
      </c>
      <c r="AD22" s="32" t="str">
        <f aca="false">IF(AND(ISNUMBER($M22),AD$5&gt;=$M22,AD$5&lt;=IF($N22="",$L$1,$N22),WEEKDAY(AD$5,2)&lt;6,COUNTIF(휴일!$A$2:$A$2,AD$5)=0),2,IF(AND(ISNUMBER($K22),AD$5&gt;=$K22,AD$5&lt;=$L22,WEEKDAY(AD$5,2)&lt;6,COUNTIF(휴일!$A$2:$A$2,AD$5)=0),1,""))</f>
        <v/>
      </c>
      <c r="AE22" s="32" t="str">
        <f aca="false">IF(AND(ISNUMBER($M22),AE$5&gt;=$M22,AE$5&lt;=IF($N22="",$L$1,$N22),WEEKDAY(AE$5,2)&lt;6,COUNTIF(휴일!$A$2:$A$2,AE$5)=0),2,IF(AND(ISNUMBER($K22),AE$5&gt;=$K22,AE$5&lt;=$L22,WEEKDAY(AE$5,2)&lt;6,COUNTIF(휴일!$A$2:$A$2,AE$5)=0),1,""))</f>
        <v/>
      </c>
      <c r="AF22" s="25" t="s">
        <v>36</v>
      </c>
      <c r="AG22" s="26"/>
      <c r="AH22" s="26"/>
    </row>
    <row r="23" customFormat="false" ht="54" hidden="false" customHeight="true" outlineLevel="0" collapsed="false">
      <c r="A23" s="2"/>
      <c r="B23" s="14" t="n">
        <v>3</v>
      </c>
      <c r="C23" s="15" t="n">
        <v>0.202479338842975</v>
      </c>
      <c r="D23" s="16" t="s">
        <v>70</v>
      </c>
      <c r="E23" s="16"/>
      <c r="F23" s="17" t="s">
        <v>71</v>
      </c>
      <c r="G23" s="17"/>
      <c r="H23" s="17" t="s">
        <v>33</v>
      </c>
      <c r="I23" s="17" t="s">
        <v>34</v>
      </c>
      <c r="J23" s="17" t="s">
        <v>72</v>
      </c>
      <c r="K23" s="18" t="n">
        <v>46303</v>
      </c>
      <c r="L23" s="18" t="n">
        <v>46303</v>
      </c>
      <c r="M23" s="19" t="n">
        <v>46303</v>
      </c>
      <c r="N23" s="19" t="n">
        <v>46303</v>
      </c>
      <c r="O23" s="20" t="n">
        <f aca="false">IF(OR(K23="",L23=""),"",IF(L23&lt;K23,"날짜 확인",NETWORKDAYS(K23,L23,휴일!$A$2:$A$2)))</f>
        <v>1</v>
      </c>
      <c r="P23" s="20" t="n">
        <f aca="false">IF(OR(M23="",N23=""),"",IF(N23&lt;M23,"날짜 확인",NETWORKDAYS(M23,N23,휴일!$A$2:$A$2)))</f>
        <v>1</v>
      </c>
      <c r="Q23" s="20" t="n">
        <f aca="false">IF(O23="","",IF($L$1&lt;K23,0,NETWORKDAYS(K23,MIN($L$1,L23),휴일!$A$2:$A$2)))</f>
        <v>1</v>
      </c>
      <c r="R23" s="20" t="n">
        <f aca="false">IF(M23="","",IF($L$1&lt;M23,0,NETWORKDAYS(M23,IF(N23="",$L$1,MIN($L$1,N23)),휴일!$A$2:$A$2)))</f>
        <v>1</v>
      </c>
      <c r="S23" s="21" t="n">
        <f aca="false">IF(O23="","",IF(O23=0,0,Q23/O23))</f>
        <v>1</v>
      </c>
      <c r="T23" s="22" t="n">
        <f aca="false">IF(OR(AND(AG23&lt;&gt;"",OR(NOT(ISNUMBER(AG23)),AG23&lt;=0)),AND(AH23&lt;&gt;"",OR(NOT(ISNUMBER(AH23)),AH23&lt;0)),AND(ISNUMBER(AG23),ISNUMBER(AH23),AH23&gt;AG23)),"수량 확인",IF(AF23="완료",1,IF(AF23="미착수",0,IF(AND(ISNUMBER(AG23),ISNUMBER(AH23)),AH23/AG23,""))))</f>
        <v>1</v>
      </c>
      <c r="U23" s="21" t="n">
        <f aca="false">IF(T23="","",T23)</f>
        <v>1</v>
      </c>
      <c r="V23" s="21" t="n">
        <f aca="false">IF(OR(U23="",S23=""),"",U23-S23)</f>
        <v>0</v>
      </c>
      <c r="W23" s="23" t="str">
        <f aca="false">IF(AND(ISNUMBER($M23),W$5&gt;=$M23,W$5&lt;=IF($N23="",$L$1,$N23),WEEKDAY(W$5,2)&lt;6,COUNTIF(휴일!$A$2:$A$2,W$5)=0),2,IF(AND(ISNUMBER($K23),W$5&gt;=$K23,W$5&lt;=$L23,WEEKDAY(W$5,2)&lt;6,COUNTIF(휴일!$A$2:$A$2,W$5)=0),1,""))</f>
        <v/>
      </c>
      <c r="X23" s="23" t="str">
        <f aca="false">IF(AND(ISNUMBER($M23),X$5&gt;=$M23,X$5&lt;=IF($N23="",$L$1,$N23),WEEKDAY(X$5,2)&lt;6,COUNTIF(휴일!$A$2:$A$2,X$5)=0),2,IF(AND(ISNUMBER($K23),X$5&gt;=$K23,X$5&lt;=$L23,WEEKDAY(X$5,2)&lt;6,COUNTIF(휴일!$A$2:$A$2,X$5)=0),1,""))</f>
        <v/>
      </c>
      <c r="Y23" s="23" t="n">
        <f aca="false">IF(AND(ISNUMBER($M23),Y$5&gt;=$M23,Y$5&lt;=IF($N23="",$L$1,$N23),WEEKDAY(Y$5,2)&lt;6,COUNTIF(휴일!$A$2:$A$2,Y$5)=0),2,IF(AND(ISNUMBER($K23),Y$5&gt;=$K23,Y$5&lt;=$L23,WEEKDAY(Y$5,2)&lt;6,COUNTIF(휴일!$A$2:$A$2,Y$5)=0),1,""))</f>
        <v>2</v>
      </c>
      <c r="Z23" s="24" t="str">
        <f aca="false">IF(AND(ISNUMBER($M23),Z$5&gt;=$M23,Z$5&lt;=IF($N23="",$L$1,$N23),WEEKDAY(Z$5,2)&lt;6,COUNTIF(휴일!$A$2:$A$2,Z$5)=0),2,IF(AND(ISNUMBER($K23),Z$5&gt;=$K23,Z$5&lt;=$L23,WEEKDAY(Z$5,2)&lt;6,COUNTIF(휴일!$A$2:$A$2,Z$5)=0),1,""))</f>
        <v/>
      </c>
      <c r="AA23" s="24" t="str">
        <f aca="false">IF(AND(ISNUMBER($M23),AA$5&gt;=$M23,AA$5&lt;=IF($N23="",$L$1,$N23),WEEKDAY(AA$5,2)&lt;6,COUNTIF(휴일!$A$2:$A$2,AA$5)=0),2,IF(AND(ISNUMBER($K23),AA$5&gt;=$K23,AA$5&lt;=$L23,WEEKDAY(AA$5,2)&lt;6,COUNTIF(휴일!$A$2:$A$2,AA$5)=0),1,""))</f>
        <v/>
      </c>
      <c r="AB23" s="24" t="str">
        <f aca="false">IF(AND(ISNUMBER($M23),AB$5&gt;=$M23,AB$5&lt;=IF($N23="",$L$1,$N23),WEEKDAY(AB$5,2)&lt;6,COUNTIF(휴일!$A$2:$A$2,AB$5)=0),2,IF(AND(ISNUMBER($K23),AB$5&gt;=$K23,AB$5&lt;=$L23,WEEKDAY(AB$5,2)&lt;6,COUNTIF(휴일!$A$2:$A$2,AB$5)=0),1,""))</f>
        <v/>
      </c>
      <c r="AC23" s="23" t="str">
        <f aca="false">IF(AND(ISNUMBER($M23),AC$5&gt;=$M23,AC$5&lt;=IF($N23="",$L$1,$N23),WEEKDAY(AC$5,2)&lt;6,COUNTIF(휴일!$A$2:$A$2,AC$5)=0),2,IF(AND(ISNUMBER($K23),AC$5&gt;=$K23,AC$5&lt;=$L23,WEEKDAY(AC$5,2)&lt;6,COUNTIF(휴일!$A$2:$A$2,AC$5)=0),1,""))</f>
        <v/>
      </c>
      <c r="AD23" s="23" t="str">
        <f aca="false">IF(AND(ISNUMBER($M23),AD$5&gt;=$M23,AD$5&lt;=IF($N23="",$L$1,$N23),WEEKDAY(AD$5,2)&lt;6,COUNTIF(휴일!$A$2:$A$2,AD$5)=0),2,IF(AND(ISNUMBER($K23),AD$5&gt;=$K23,AD$5&lt;=$L23,WEEKDAY(AD$5,2)&lt;6,COUNTIF(휴일!$A$2:$A$2,AD$5)=0),1,""))</f>
        <v/>
      </c>
      <c r="AE23" s="23" t="str">
        <f aca="false">IF(AND(ISNUMBER($M23),AE$5&gt;=$M23,AE$5&lt;=IF($N23="",$L$1,$N23),WEEKDAY(AE$5,2)&lt;6,COUNTIF(휴일!$A$2:$A$2,AE$5)=0),2,IF(AND(ISNUMBER($K23),AE$5&gt;=$K23,AE$5&lt;=$L23,WEEKDAY(AE$5,2)&lt;6,COUNTIF(휴일!$A$2:$A$2,AE$5)=0),1,""))</f>
        <v/>
      </c>
      <c r="AF23" s="25" t="s">
        <v>36</v>
      </c>
      <c r="AG23" s="26"/>
      <c r="AH23" s="26"/>
    </row>
    <row r="24" customFormat="false" ht="54" hidden="false" customHeight="true" outlineLevel="0" collapsed="false">
      <c r="A24" s="2"/>
      <c r="B24" s="14"/>
      <c r="C24" s="14"/>
      <c r="D24" s="16"/>
      <c r="E24" s="16"/>
      <c r="F24" s="27" t="s">
        <v>73</v>
      </c>
      <c r="G24" s="27"/>
      <c r="H24" s="27" t="s">
        <v>33</v>
      </c>
      <c r="I24" s="27" t="s">
        <v>34</v>
      </c>
      <c r="J24" s="27" t="s">
        <v>74</v>
      </c>
      <c r="K24" s="28" t="n">
        <v>46303</v>
      </c>
      <c r="L24" s="28" t="n">
        <v>46303</v>
      </c>
      <c r="M24" s="34" t="n">
        <v>46303</v>
      </c>
      <c r="N24" s="34" t="n">
        <v>46303</v>
      </c>
      <c r="O24" s="29" t="n">
        <f aca="false">IF(OR(K24="",L24=""),"",IF(L24&lt;K24,"날짜 확인",NETWORKDAYS(K24,L24,휴일!$A$2:$A$2)))</f>
        <v>1</v>
      </c>
      <c r="P24" s="29" t="n">
        <f aca="false">IF(OR(M24="",N24=""),"",IF(N24&lt;M24,"날짜 확인",NETWORKDAYS(M24,N24,휴일!$A$2:$A$2)))</f>
        <v>1</v>
      </c>
      <c r="Q24" s="29" t="n">
        <f aca="false">IF(O24="","",IF($L$1&lt;K24,0,NETWORKDAYS(K24,MIN($L$1,L24),휴일!$A$2:$A$2)))</f>
        <v>1</v>
      </c>
      <c r="R24" s="29" t="n">
        <f aca="false">IF(M24="","",IF($L$1&lt;M24,0,NETWORKDAYS(M24,IF(N24="",$L$1,MIN($L$1,N24)),휴일!$A$2:$A$2)))</f>
        <v>1</v>
      </c>
      <c r="S24" s="30" t="n">
        <f aca="false">IF(O24="","",IF(O24=0,0,Q24/O24))</f>
        <v>1</v>
      </c>
      <c r="T24" s="31" t="n">
        <f aca="false">IF(OR(AND(AG24&lt;&gt;"",OR(NOT(ISNUMBER(AG24)),AG24&lt;=0)),AND(AH24&lt;&gt;"",OR(NOT(ISNUMBER(AH24)),AH24&lt;0)),AND(ISNUMBER(AG24),ISNUMBER(AH24),AH24&gt;AG24)),"수량 확인",IF(AF24="완료",1,IF(AF24="미착수",0,IF(AND(ISNUMBER(AG24),ISNUMBER(AH24)),AH24/AG24,""))))</f>
        <v>1</v>
      </c>
      <c r="U24" s="30" t="n">
        <f aca="false">IF(T24="","",T24)</f>
        <v>1</v>
      </c>
      <c r="V24" s="30" t="n">
        <f aca="false">IF(OR(U24="",S24=""),"",U24-S24)</f>
        <v>0</v>
      </c>
      <c r="W24" s="32" t="str">
        <f aca="false">IF(AND(ISNUMBER($M24),W$5&gt;=$M24,W$5&lt;=IF($N24="",$L$1,$N24),WEEKDAY(W$5,2)&lt;6,COUNTIF(휴일!$A$2:$A$2,W$5)=0),2,IF(AND(ISNUMBER($K24),W$5&gt;=$K24,W$5&lt;=$L24,WEEKDAY(W$5,2)&lt;6,COUNTIF(휴일!$A$2:$A$2,W$5)=0),1,""))</f>
        <v/>
      </c>
      <c r="X24" s="32" t="str">
        <f aca="false">IF(AND(ISNUMBER($M24),X$5&gt;=$M24,X$5&lt;=IF($N24="",$L$1,$N24),WEEKDAY(X$5,2)&lt;6,COUNTIF(휴일!$A$2:$A$2,X$5)=0),2,IF(AND(ISNUMBER($K24),X$5&gt;=$K24,X$5&lt;=$L24,WEEKDAY(X$5,2)&lt;6,COUNTIF(휴일!$A$2:$A$2,X$5)=0),1,""))</f>
        <v/>
      </c>
      <c r="Y24" s="32" t="n">
        <f aca="false">IF(AND(ISNUMBER($M24),Y$5&gt;=$M24,Y$5&lt;=IF($N24="",$L$1,$N24),WEEKDAY(Y$5,2)&lt;6,COUNTIF(휴일!$A$2:$A$2,Y$5)=0),2,IF(AND(ISNUMBER($K24),Y$5&gt;=$K24,Y$5&lt;=$L24,WEEKDAY(Y$5,2)&lt;6,COUNTIF(휴일!$A$2:$A$2,Y$5)=0),1,""))</f>
        <v>2</v>
      </c>
      <c r="Z24" s="33" t="str">
        <f aca="false">IF(AND(ISNUMBER($M24),Z$5&gt;=$M24,Z$5&lt;=IF($N24="",$L$1,$N24),WEEKDAY(Z$5,2)&lt;6,COUNTIF(휴일!$A$2:$A$2,Z$5)=0),2,IF(AND(ISNUMBER($K24),Z$5&gt;=$K24,Z$5&lt;=$L24,WEEKDAY(Z$5,2)&lt;6,COUNTIF(휴일!$A$2:$A$2,Z$5)=0),1,""))</f>
        <v/>
      </c>
      <c r="AA24" s="33" t="str">
        <f aca="false">IF(AND(ISNUMBER($M24),AA$5&gt;=$M24,AA$5&lt;=IF($N24="",$L$1,$N24),WEEKDAY(AA$5,2)&lt;6,COUNTIF(휴일!$A$2:$A$2,AA$5)=0),2,IF(AND(ISNUMBER($K24),AA$5&gt;=$K24,AA$5&lt;=$L24,WEEKDAY(AA$5,2)&lt;6,COUNTIF(휴일!$A$2:$A$2,AA$5)=0),1,""))</f>
        <v/>
      </c>
      <c r="AB24" s="33" t="str">
        <f aca="false">IF(AND(ISNUMBER($M24),AB$5&gt;=$M24,AB$5&lt;=IF($N24="",$L$1,$N24),WEEKDAY(AB$5,2)&lt;6,COUNTIF(휴일!$A$2:$A$2,AB$5)=0),2,IF(AND(ISNUMBER($K24),AB$5&gt;=$K24,AB$5&lt;=$L24,WEEKDAY(AB$5,2)&lt;6,COUNTIF(휴일!$A$2:$A$2,AB$5)=0),1,""))</f>
        <v/>
      </c>
      <c r="AC24" s="32" t="str">
        <f aca="false">IF(AND(ISNUMBER($M24),AC$5&gt;=$M24,AC$5&lt;=IF($N24="",$L$1,$N24),WEEKDAY(AC$5,2)&lt;6,COUNTIF(휴일!$A$2:$A$2,AC$5)=0),2,IF(AND(ISNUMBER($K24),AC$5&gt;=$K24,AC$5&lt;=$L24,WEEKDAY(AC$5,2)&lt;6,COUNTIF(휴일!$A$2:$A$2,AC$5)=0),1,""))</f>
        <v/>
      </c>
      <c r="AD24" s="32" t="str">
        <f aca="false">IF(AND(ISNUMBER($M24),AD$5&gt;=$M24,AD$5&lt;=IF($N24="",$L$1,$N24),WEEKDAY(AD$5,2)&lt;6,COUNTIF(휴일!$A$2:$A$2,AD$5)=0),2,IF(AND(ISNUMBER($K24),AD$5&gt;=$K24,AD$5&lt;=$L24,WEEKDAY(AD$5,2)&lt;6,COUNTIF(휴일!$A$2:$A$2,AD$5)=0),1,""))</f>
        <v/>
      </c>
      <c r="AE24" s="32" t="str">
        <f aca="false">IF(AND(ISNUMBER($M24),AE$5&gt;=$M24,AE$5&lt;=IF($N24="",$L$1,$N24),WEEKDAY(AE$5,2)&lt;6,COUNTIF(휴일!$A$2:$A$2,AE$5)=0),2,IF(AND(ISNUMBER($K24),AE$5&gt;=$K24,AE$5&lt;=$L24,WEEKDAY(AE$5,2)&lt;6,COUNTIF(휴일!$A$2:$A$2,AE$5)=0),1,""))</f>
        <v/>
      </c>
      <c r="AF24" s="25" t="s">
        <v>36</v>
      </c>
      <c r="AG24" s="26"/>
      <c r="AH24" s="26"/>
    </row>
    <row r="25" customFormat="false" ht="54" hidden="false" customHeight="true" outlineLevel="0" collapsed="false">
      <c r="A25" s="2"/>
      <c r="B25" s="14"/>
      <c r="C25" s="14"/>
      <c r="D25" s="16"/>
      <c r="E25" s="16"/>
      <c r="F25" s="27" t="s">
        <v>75</v>
      </c>
      <c r="G25" s="27"/>
      <c r="H25" s="27" t="s">
        <v>33</v>
      </c>
      <c r="I25" s="27" t="s">
        <v>34</v>
      </c>
      <c r="J25" s="27" t="s">
        <v>76</v>
      </c>
      <c r="K25" s="28" t="n">
        <v>46303</v>
      </c>
      <c r="L25" s="28" t="n">
        <v>46303</v>
      </c>
      <c r="M25" s="34" t="n">
        <v>46303</v>
      </c>
      <c r="N25" s="34" t="n">
        <v>46303</v>
      </c>
      <c r="O25" s="29" t="n">
        <f aca="false">IF(OR(K25="",L25=""),"",IF(L25&lt;K25,"날짜 확인",NETWORKDAYS(K25,L25,휴일!$A$2:$A$2)))</f>
        <v>1</v>
      </c>
      <c r="P25" s="29" t="n">
        <f aca="false">IF(OR(M25="",N25=""),"",IF(N25&lt;M25,"날짜 확인",NETWORKDAYS(M25,N25,휴일!$A$2:$A$2)))</f>
        <v>1</v>
      </c>
      <c r="Q25" s="29" t="n">
        <f aca="false">IF(O25="","",IF($L$1&lt;K25,0,NETWORKDAYS(K25,MIN($L$1,L25),휴일!$A$2:$A$2)))</f>
        <v>1</v>
      </c>
      <c r="R25" s="29" t="n">
        <f aca="false">IF(M25="","",IF($L$1&lt;M25,0,NETWORKDAYS(M25,IF(N25="",$L$1,MIN($L$1,N25)),휴일!$A$2:$A$2)))</f>
        <v>1</v>
      </c>
      <c r="S25" s="30" t="n">
        <f aca="false">IF(O25="","",IF(O25=0,0,Q25/O25))</f>
        <v>1</v>
      </c>
      <c r="T25" s="31" t="n">
        <f aca="false">IF(OR(AND(AG25&lt;&gt;"",OR(NOT(ISNUMBER(AG25)),AG25&lt;=0)),AND(AH25&lt;&gt;"",OR(NOT(ISNUMBER(AH25)),AH25&lt;0)),AND(ISNUMBER(AG25),ISNUMBER(AH25),AH25&gt;AG25)),"수량 확인",IF(AF25="완료",1,IF(AF25="미착수",0,IF(AND(ISNUMBER(AG25),ISNUMBER(AH25)),AH25/AG25,""))))</f>
        <v>1</v>
      </c>
      <c r="U25" s="30" t="n">
        <f aca="false">IF(T25="","",T25)</f>
        <v>1</v>
      </c>
      <c r="V25" s="30" t="n">
        <f aca="false">IF(OR(U25="",S25=""),"",U25-S25)</f>
        <v>0</v>
      </c>
      <c r="W25" s="32" t="str">
        <f aca="false">IF(AND(ISNUMBER($M25),W$5&gt;=$M25,W$5&lt;=IF($N25="",$L$1,$N25),WEEKDAY(W$5,2)&lt;6,COUNTIF(휴일!$A$2:$A$2,W$5)=0),2,IF(AND(ISNUMBER($K25),W$5&gt;=$K25,W$5&lt;=$L25,WEEKDAY(W$5,2)&lt;6,COUNTIF(휴일!$A$2:$A$2,W$5)=0),1,""))</f>
        <v/>
      </c>
      <c r="X25" s="32" t="str">
        <f aca="false">IF(AND(ISNUMBER($M25),X$5&gt;=$M25,X$5&lt;=IF($N25="",$L$1,$N25),WEEKDAY(X$5,2)&lt;6,COUNTIF(휴일!$A$2:$A$2,X$5)=0),2,IF(AND(ISNUMBER($K25),X$5&gt;=$K25,X$5&lt;=$L25,WEEKDAY(X$5,2)&lt;6,COUNTIF(휴일!$A$2:$A$2,X$5)=0),1,""))</f>
        <v/>
      </c>
      <c r="Y25" s="32" t="n">
        <f aca="false">IF(AND(ISNUMBER($M25),Y$5&gt;=$M25,Y$5&lt;=IF($N25="",$L$1,$N25),WEEKDAY(Y$5,2)&lt;6,COUNTIF(휴일!$A$2:$A$2,Y$5)=0),2,IF(AND(ISNUMBER($K25),Y$5&gt;=$K25,Y$5&lt;=$L25,WEEKDAY(Y$5,2)&lt;6,COUNTIF(휴일!$A$2:$A$2,Y$5)=0),1,""))</f>
        <v>2</v>
      </c>
      <c r="Z25" s="33" t="str">
        <f aca="false">IF(AND(ISNUMBER($M25),Z$5&gt;=$M25,Z$5&lt;=IF($N25="",$L$1,$N25),WEEKDAY(Z$5,2)&lt;6,COUNTIF(휴일!$A$2:$A$2,Z$5)=0),2,IF(AND(ISNUMBER($K25),Z$5&gt;=$K25,Z$5&lt;=$L25,WEEKDAY(Z$5,2)&lt;6,COUNTIF(휴일!$A$2:$A$2,Z$5)=0),1,""))</f>
        <v/>
      </c>
      <c r="AA25" s="33" t="str">
        <f aca="false">IF(AND(ISNUMBER($M25),AA$5&gt;=$M25,AA$5&lt;=IF($N25="",$L$1,$N25),WEEKDAY(AA$5,2)&lt;6,COUNTIF(휴일!$A$2:$A$2,AA$5)=0),2,IF(AND(ISNUMBER($K25),AA$5&gt;=$K25,AA$5&lt;=$L25,WEEKDAY(AA$5,2)&lt;6,COUNTIF(휴일!$A$2:$A$2,AA$5)=0),1,""))</f>
        <v/>
      </c>
      <c r="AB25" s="33" t="str">
        <f aca="false">IF(AND(ISNUMBER($M25),AB$5&gt;=$M25,AB$5&lt;=IF($N25="",$L$1,$N25),WEEKDAY(AB$5,2)&lt;6,COUNTIF(휴일!$A$2:$A$2,AB$5)=0),2,IF(AND(ISNUMBER($K25),AB$5&gt;=$K25,AB$5&lt;=$L25,WEEKDAY(AB$5,2)&lt;6,COUNTIF(휴일!$A$2:$A$2,AB$5)=0),1,""))</f>
        <v/>
      </c>
      <c r="AC25" s="32" t="str">
        <f aca="false">IF(AND(ISNUMBER($M25),AC$5&gt;=$M25,AC$5&lt;=IF($N25="",$L$1,$N25),WEEKDAY(AC$5,2)&lt;6,COUNTIF(휴일!$A$2:$A$2,AC$5)=0),2,IF(AND(ISNUMBER($K25),AC$5&gt;=$K25,AC$5&lt;=$L25,WEEKDAY(AC$5,2)&lt;6,COUNTIF(휴일!$A$2:$A$2,AC$5)=0),1,""))</f>
        <v/>
      </c>
      <c r="AD25" s="32" t="str">
        <f aca="false">IF(AND(ISNUMBER($M25),AD$5&gt;=$M25,AD$5&lt;=IF($N25="",$L$1,$N25),WEEKDAY(AD$5,2)&lt;6,COUNTIF(휴일!$A$2:$A$2,AD$5)=0),2,IF(AND(ISNUMBER($K25),AD$5&gt;=$K25,AD$5&lt;=$L25,WEEKDAY(AD$5,2)&lt;6,COUNTIF(휴일!$A$2:$A$2,AD$5)=0),1,""))</f>
        <v/>
      </c>
      <c r="AE25" s="32" t="str">
        <f aca="false">IF(AND(ISNUMBER($M25),AE$5&gt;=$M25,AE$5&lt;=IF($N25="",$L$1,$N25),WEEKDAY(AE$5,2)&lt;6,COUNTIF(휴일!$A$2:$A$2,AE$5)=0),2,IF(AND(ISNUMBER($K25),AE$5&gt;=$K25,AE$5&lt;=$L25,WEEKDAY(AE$5,2)&lt;6,COUNTIF(휴일!$A$2:$A$2,AE$5)=0),1,""))</f>
        <v/>
      </c>
      <c r="AF25" s="25" t="s">
        <v>36</v>
      </c>
      <c r="AG25" s="26"/>
      <c r="AH25" s="26"/>
    </row>
    <row r="26" customFormat="false" ht="54" hidden="false" customHeight="true" outlineLevel="0" collapsed="false">
      <c r="A26" s="2"/>
      <c r="B26" s="14"/>
      <c r="C26" s="14"/>
      <c r="D26" s="16"/>
      <c r="E26" s="16"/>
      <c r="F26" s="27" t="s">
        <v>77</v>
      </c>
      <c r="G26" s="27"/>
      <c r="H26" s="27" t="s">
        <v>34</v>
      </c>
      <c r="I26" s="27" t="s">
        <v>33</v>
      </c>
      <c r="J26" s="27" t="s">
        <v>78</v>
      </c>
      <c r="K26" s="28" t="n">
        <v>46303</v>
      </c>
      <c r="L26" s="28" t="n">
        <v>46303</v>
      </c>
      <c r="M26" s="34" t="n">
        <v>46303</v>
      </c>
      <c r="N26" s="34" t="n">
        <v>46303</v>
      </c>
      <c r="O26" s="29" t="n">
        <f aca="false">IF(OR(K26="",L26=""),"",IF(L26&lt;K26,"날짜 확인",NETWORKDAYS(K26,L26,휴일!$A$2:$A$2)))</f>
        <v>1</v>
      </c>
      <c r="P26" s="29" t="n">
        <f aca="false">IF(OR(M26="",N26=""),"",IF(N26&lt;M26,"날짜 확인",NETWORKDAYS(M26,N26,휴일!$A$2:$A$2)))</f>
        <v>1</v>
      </c>
      <c r="Q26" s="29" t="n">
        <f aca="false">IF(O26="","",IF($L$1&lt;K26,0,NETWORKDAYS(K26,MIN($L$1,L26),휴일!$A$2:$A$2)))</f>
        <v>1</v>
      </c>
      <c r="R26" s="29" t="n">
        <f aca="false">IF(M26="","",IF($L$1&lt;M26,0,NETWORKDAYS(M26,IF(N26="",$L$1,MIN($L$1,N26)),휴일!$A$2:$A$2)))</f>
        <v>1</v>
      </c>
      <c r="S26" s="30" t="n">
        <f aca="false">IF(O26="","",IF(O26=0,0,Q26/O26))</f>
        <v>1</v>
      </c>
      <c r="T26" s="31" t="n">
        <f aca="false">IF(OR(AND(AG26&lt;&gt;"",OR(NOT(ISNUMBER(AG26)),AG26&lt;=0)),AND(AH26&lt;&gt;"",OR(NOT(ISNUMBER(AH26)),AH26&lt;0)),AND(ISNUMBER(AG26),ISNUMBER(AH26),AH26&gt;AG26)),"수량 확인",IF(AF26="완료",1,IF(AF26="미착수",0,IF(AND(ISNUMBER(AG26),ISNUMBER(AH26)),AH26/AG26,""))))</f>
        <v>1</v>
      </c>
      <c r="U26" s="30" t="n">
        <f aca="false">IF(T26="","",T26)</f>
        <v>1</v>
      </c>
      <c r="V26" s="30" t="n">
        <f aca="false">IF(OR(U26="",S26=""),"",U26-S26)</f>
        <v>0</v>
      </c>
      <c r="W26" s="32" t="str">
        <f aca="false">IF(AND(ISNUMBER($M26),W$5&gt;=$M26,W$5&lt;=IF($N26="",$L$1,$N26),WEEKDAY(W$5,2)&lt;6,COUNTIF(휴일!$A$2:$A$2,W$5)=0),2,IF(AND(ISNUMBER($K26),W$5&gt;=$K26,W$5&lt;=$L26,WEEKDAY(W$5,2)&lt;6,COUNTIF(휴일!$A$2:$A$2,W$5)=0),1,""))</f>
        <v/>
      </c>
      <c r="X26" s="32" t="str">
        <f aca="false">IF(AND(ISNUMBER($M26),X$5&gt;=$M26,X$5&lt;=IF($N26="",$L$1,$N26),WEEKDAY(X$5,2)&lt;6,COUNTIF(휴일!$A$2:$A$2,X$5)=0),2,IF(AND(ISNUMBER($K26),X$5&gt;=$K26,X$5&lt;=$L26,WEEKDAY(X$5,2)&lt;6,COUNTIF(휴일!$A$2:$A$2,X$5)=0),1,""))</f>
        <v/>
      </c>
      <c r="Y26" s="32" t="n">
        <f aca="false">IF(AND(ISNUMBER($M26),Y$5&gt;=$M26,Y$5&lt;=IF($N26="",$L$1,$N26),WEEKDAY(Y$5,2)&lt;6,COUNTIF(휴일!$A$2:$A$2,Y$5)=0),2,IF(AND(ISNUMBER($K26),Y$5&gt;=$K26,Y$5&lt;=$L26,WEEKDAY(Y$5,2)&lt;6,COUNTIF(휴일!$A$2:$A$2,Y$5)=0),1,""))</f>
        <v>2</v>
      </c>
      <c r="Z26" s="33" t="str">
        <f aca="false">IF(AND(ISNUMBER($M26),Z$5&gt;=$M26,Z$5&lt;=IF($N26="",$L$1,$N26),WEEKDAY(Z$5,2)&lt;6,COUNTIF(휴일!$A$2:$A$2,Z$5)=0),2,IF(AND(ISNUMBER($K26),Z$5&gt;=$K26,Z$5&lt;=$L26,WEEKDAY(Z$5,2)&lt;6,COUNTIF(휴일!$A$2:$A$2,Z$5)=0),1,""))</f>
        <v/>
      </c>
      <c r="AA26" s="33" t="str">
        <f aca="false">IF(AND(ISNUMBER($M26),AA$5&gt;=$M26,AA$5&lt;=IF($N26="",$L$1,$N26),WEEKDAY(AA$5,2)&lt;6,COUNTIF(휴일!$A$2:$A$2,AA$5)=0),2,IF(AND(ISNUMBER($K26),AA$5&gt;=$K26,AA$5&lt;=$L26,WEEKDAY(AA$5,2)&lt;6,COUNTIF(휴일!$A$2:$A$2,AA$5)=0),1,""))</f>
        <v/>
      </c>
      <c r="AB26" s="33" t="str">
        <f aca="false">IF(AND(ISNUMBER($M26),AB$5&gt;=$M26,AB$5&lt;=IF($N26="",$L$1,$N26),WEEKDAY(AB$5,2)&lt;6,COUNTIF(휴일!$A$2:$A$2,AB$5)=0),2,IF(AND(ISNUMBER($K26),AB$5&gt;=$K26,AB$5&lt;=$L26,WEEKDAY(AB$5,2)&lt;6,COUNTIF(휴일!$A$2:$A$2,AB$5)=0),1,""))</f>
        <v/>
      </c>
      <c r="AC26" s="32" t="str">
        <f aca="false">IF(AND(ISNUMBER($M26),AC$5&gt;=$M26,AC$5&lt;=IF($N26="",$L$1,$N26),WEEKDAY(AC$5,2)&lt;6,COUNTIF(휴일!$A$2:$A$2,AC$5)=0),2,IF(AND(ISNUMBER($K26),AC$5&gt;=$K26,AC$5&lt;=$L26,WEEKDAY(AC$5,2)&lt;6,COUNTIF(휴일!$A$2:$A$2,AC$5)=0),1,""))</f>
        <v/>
      </c>
      <c r="AD26" s="32" t="str">
        <f aca="false">IF(AND(ISNUMBER($M26),AD$5&gt;=$M26,AD$5&lt;=IF($N26="",$L$1,$N26),WEEKDAY(AD$5,2)&lt;6,COUNTIF(휴일!$A$2:$A$2,AD$5)=0),2,IF(AND(ISNUMBER($K26),AD$5&gt;=$K26,AD$5&lt;=$L26,WEEKDAY(AD$5,2)&lt;6,COUNTIF(휴일!$A$2:$A$2,AD$5)=0),1,""))</f>
        <v/>
      </c>
      <c r="AE26" s="32" t="str">
        <f aca="false">IF(AND(ISNUMBER($M26),AE$5&gt;=$M26,AE$5&lt;=IF($N26="",$L$1,$N26),WEEKDAY(AE$5,2)&lt;6,COUNTIF(휴일!$A$2:$A$2,AE$5)=0),2,IF(AND(ISNUMBER($K26),AE$5&gt;=$K26,AE$5&lt;=$L26,WEEKDAY(AE$5,2)&lt;6,COUNTIF(휴일!$A$2:$A$2,AE$5)=0),1,""))</f>
        <v/>
      </c>
      <c r="AF26" s="25" t="s">
        <v>36</v>
      </c>
      <c r="AG26" s="26"/>
      <c r="AH26" s="26"/>
    </row>
    <row r="27" customFormat="false" ht="69.75" hidden="false" customHeight="true" outlineLevel="0" collapsed="false">
      <c r="A27" s="2"/>
      <c r="B27" s="14"/>
      <c r="C27" s="14"/>
      <c r="D27" s="16"/>
      <c r="E27" s="16"/>
      <c r="F27" s="27" t="s">
        <v>79</v>
      </c>
      <c r="G27" s="27"/>
      <c r="H27" s="27" t="s">
        <v>34</v>
      </c>
      <c r="I27" s="27" t="s">
        <v>33</v>
      </c>
      <c r="J27" s="27" t="s">
        <v>80</v>
      </c>
      <c r="K27" s="28" t="n">
        <v>46303</v>
      </c>
      <c r="L27" s="28" t="n">
        <v>46303</v>
      </c>
      <c r="M27" s="34" t="n">
        <v>46303</v>
      </c>
      <c r="N27" s="34" t="n">
        <v>46307</v>
      </c>
      <c r="O27" s="29" t="n">
        <f aca="false">IF(OR(K27="",L27=""),"",IF(L27&lt;K27,"날짜 확인",NETWORKDAYS(K27,L27,휴일!$A$2:$A$2)))</f>
        <v>1</v>
      </c>
      <c r="P27" s="29" t="n">
        <f aca="false">IF(OR(M27="",N27=""),"",IF(N27&lt;M27,"날짜 확인",NETWORKDAYS(M27,N27,휴일!$A$2:$A$2)))</f>
        <v>2</v>
      </c>
      <c r="Q27" s="29" t="n">
        <f aca="false">IF(O27="","",IF($L$1&lt;K27,0,NETWORKDAYS(K27,MIN($L$1,L27),휴일!$A$2:$A$2)))</f>
        <v>1</v>
      </c>
      <c r="R27" s="29" t="n">
        <f aca="false">IF(M27="","",IF($L$1&lt;M27,0,NETWORKDAYS(M27,IF(N27="",$L$1,MIN($L$1,N27)),휴일!$A$2:$A$2)))</f>
        <v>2</v>
      </c>
      <c r="S27" s="30" t="n">
        <f aca="false">IF(O27="","",IF(O27=0,0,Q27/O27))</f>
        <v>1</v>
      </c>
      <c r="T27" s="31" t="n">
        <f aca="false">IF(OR(AND(AG27&lt;&gt;"",OR(NOT(ISNUMBER(AG27)),AG27&lt;=0)),AND(AH27&lt;&gt;"",OR(NOT(ISNUMBER(AH27)),AH27&lt;0)),AND(ISNUMBER(AG27),ISNUMBER(AH27),AH27&gt;AG27)),"수량 확인",IF(AF27="완료",1,IF(AF27="미착수",0,IF(AND(ISNUMBER(AG27),ISNUMBER(AH27)),AH27/AG27,""))))</f>
        <v>1</v>
      </c>
      <c r="U27" s="30" t="n">
        <f aca="false">IF(T27="","",T27)</f>
        <v>1</v>
      </c>
      <c r="V27" s="30" t="n">
        <f aca="false">IF(OR(U27="",S27=""),"",U27-S27)</f>
        <v>0</v>
      </c>
      <c r="W27" s="32" t="str">
        <f aca="false">IF(AND(ISNUMBER($M27),W$5&gt;=$M27,W$5&lt;=IF($N27="",$L$1,$N27),WEEKDAY(W$5,2)&lt;6,COUNTIF(휴일!$A$2:$A$2,W$5)=0),2,IF(AND(ISNUMBER($K27),W$5&gt;=$K27,W$5&lt;=$L27,WEEKDAY(W$5,2)&lt;6,COUNTIF(휴일!$A$2:$A$2,W$5)=0),1,""))</f>
        <v/>
      </c>
      <c r="X27" s="32" t="str">
        <f aca="false">IF(AND(ISNUMBER($M27),X$5&gt;=$M27,X$5&lt;=IF($N27="",$L$1,$N27),WEEKDAY(X$5,2)&lt;6,COUNTIF(휴일!$A$2:$A$2,X$5)=0),2,IF(AND(ISNUMBER($K27),X$5&gt;=$K27,X$5&lt;=$L27,WEEKDAY(X$5,2)&lt;6,COUNTIF(휴일!$A$2:$A$2,X$5)=0),1,""))</f>
        <v/>
      </c>
      <c r="Y27" s="32" t="n">
        <f aca="false">IF(AND(ISNUMBER($M27),Y$5&gt;=$M27,Y$5&lt;=IF($N27="",$L$1,$N27),WEEKDAY(Y$5,2)&lt;6,COUNTIF(휴일!$A$2:$A$2,Y$5)=0),2,IF(AND(ISNUMBER($K27),Y$5&gt;=$K27,Y$5&lt;=$L27,WEEKDAY(Y$5,2)&lt;6,COUNTIF(휴일!$A$2:$A$2,Y$5)=0),1,""))</f>
        <v>2</v>
      </c>
      <c r="Z27" s="33" t="str">
        <f aca="false">IF(AND(ISNUMBER($M27),Z$5&gt;=$M27,Z$5&lt;=IF($N27="",$L$1,$N27),WEEKDAY(Z$5,2)&lt;6,COUNTIF(휴일!$A$2:$A$2,Z$5)=0),2,IF(AND(ISNUMBER($K27),Z$5&gt;=$K27,Z$5&lt;=$L27,WEEKDAY(Z$5,2)&lt;6,COUNTIF(휴일!$A$2:$A$2,Z$5)=0),1,""))</f>
        <v/>
      </c>
      <c r="AA27" s="33" t="str">
        <f aca="false">IF(AND(ISNUMBER($M27),AA$5&gt;=$M27,AA$5&lt;=IF($N27="",$L$1,$N27),WEEKDAY(AA$5,2)&lt;6,COUNTIF(휴일!$A$2:$A$2,AA$5)=0),2,IF(AND(ISNUMBER($K27),AA$5&gt;=$K27,AA$5&lt;=$L27,WEEKDAY(AA$5,2)&lt;6,COUNTIF(휴일!$A$2:$A$2,AA$5)=0),1,""))</f>
        <v/>
      </c>
      <c r="AB27" s="33" t="str">
        <f aca="false">IF(AND(ISNUMBER($M27),AB$5&gt;=$M27,AB$5&lt;=IF($N27="",$L$1,$N27),WEEKDAY(AB$5,2)&lt;6,COUNTIF(휴일!$A$2:$A$2,AB$5)=0),2,IF(AND(ISNUMBER($K27),AB$5&gt;=$K27,AB$5&lt;=$L27,WEEKDAY(AB$5,2)&lt;6,COUNTIF(휴일!$A$2:$A$2,AB$5)=0),1,""))</f>
        <v/>
      </c>
      <c r="AC27" s="32" t="n">
        <f aca="false">IF(AND(ISNUMBER($M27),AC$5&gt;=$M27,AC$5&lt;=IF($N27="",$L$1,$N27),WEEKDAY(AC$5,2)&lt;6,COUNTIF(휴일!$A$2:$A$2,AC$5)=0),2,IF(AND(ISNUMBER($K27),AC$5&gt;=$K27,AC$5&lt;=$L27,WEEKDAY(AC$5,2)&lt;6,COUNTIF(휴일!$A$2:$A$2,AC$5)=0),1,""))</f>
        <v>2</v>
      </c>
      <c r="AD27" s="32" t="str">
        <f aca="false">IF(AND(ISNUMBER($M27),AD$5&gt;=$M27,AD$5&lt;=IF($N27="",$L$1,$N27),WEEKDAY(AD$5,2)&lt;6,COUNTIF(휴일!$A$2:$A$2,AD$5)=0),2,IF(AND(ISNUMBER($K27),AD$5&gt;=$K27,AD$5&lt;=$L27,WEEKDAY(AD$5,2)&lt;6,COUNTIF(휴일!$A$2:$A$2,AD$5)=0),1,""))</f>
        <v/>
      </c>
      <c r="AE27" s="32" t="str">
        <f aca="false">IF(AND(ISNUMBER($M27),AE$5&gt;=$M27,AE$5&lt;=IF($N27="",$L$1,$N27),WEEKDAY(AE$5,2)&lt;6,COUNTIF(휴일!$A$2:$A$2,AE$5)=0),2,IF(AND(ISNUMBER($K27),AE$5&gt;=$K27,AE$5&lt;=$L27,WEEKDAY(AE$5,2)&lt;6,COUNTIF(휴일!$A$2:$A$2,AE$5)=0),1,""))</f>
        <v/>
      </c>
      <c r="AF27" s="25" t="s">
        <v>36</v>
      </c>
      <c r="AG27" s="26"/>
      <c r="AH27" s="26"/>
    </row>
    <row r="28" customFormat="false" ht="54" hidden="false" customHeight="true" outlineLevel="0" collapsed="false">
      <c r="A28" s="2"/>
      <c r="B28" s="14"/>
      <c r="C28" s="14"/>
      <c r="D28" s="16"/>
      <c r="E28" s="16"/>
      <c r="F28" s="27" t="s">
        <v>81</v>
      </c>
      <c r="G28" s="27"/>
      <c r="H28" s="27" t="s">
        <v>34</v>
      </c>
      <c r="I28" s="27" t="s">
        <v>33</v>
      </c>
      <c r="J28" s="27" t="s">
        <v>82</v>
      </c>
      <c r="K28" s="28" t="n">
        <v>46303</v>
      </c>
      <c r="L28" s="28" t="n">
        <v>46303</v>
      </c>
      <c r="M28" s="34"/>
      <c r="N28" s="34"/>
      <c r="O28" s="29" t="n">
        <f aca="false">IF(OR(K28="",L28=""),"",IF(L28&lt;K28,"날짜 확인",NETWORKDAYS(K28,L28,휴일!$A$2:$A$2)))</f>
        <v>1</v>
      </c>
      <c r="P28" s="29" t="str">
        <f aca="false">IF(OR(M28="",N28=""),"",IF(N28&lt;M28,"날짜 확인",NETWORKDAYS(M28,N28,휴일!$A$2:$A$2)))</f>
        <v/>
      </c>
      <c r="Q28" s="29" t="n">
        <f aca="false">IF(O28="","",IF($L$1&lt;K28,0,NETWORKDAYS(K28,MIN($L$1,L28),휴일!$A$2:$A$2)))</f>
        <v>1</v>
      </c>
      <c r="R28" s="29" t="str">
        <f aca="false">IF(M28="","",IF($L$1&lt;M28,0,NETWORKDAYS(M28,IF(N28="",$L$1,MIN($L$1,N28)),휴일!$A$2:$A$2)))</f>
        <v/>
      </c>
      <c r="S28" s="30" t="n">
        <f aca="false">IF(O28="","",IF(O28=0,0,Q28/O28))</f>
        <v>1</v>
      </c>
      <c r="T28" s="31" t="n">
        <f aca="false">IF(OR(AND(AG28&lt;&gt;"",OR(NOT(ISNUMBER(AG28)),AG28&lt;=0)),AND(AH28&lt;&gt;"",OR(NOT(ISNUMBER(AH28)),AH28&lt;0)),AND(ISNUMBER(AG28),ISNUMBER(AH28),AH28&gt;AG28)),"수량 확인",IF(AF28="완료",1,IF(AF28="미착수",0,IF(AND(ISNUMBER(AG28),ISNUMBER(AH28)),AH28/AG28,""))))</f>
        <v>1</v>
      </c>
      <c r="U28" s="30" t="n">
        <f aca="false">IF(T28="","",T28)</f>
        <v>1</v>
      </c>
      <c r="V28" s="30" t="n">
        <f aca="false">IF(OR(U28="",S28=""),"",U28-S28)</f>
        <v>0</v>
      </c>
      <c r="W28" s="32" t="str">
        <f aca="false">IF(AND(ISNUMBER($M28),W$5&gt;=$M28,W$5&lt;=IF($N28="",$L$1,$N28),WEEKDAY(W$5,2)&lt;6,COUNTIF(휴일!$A$2:$A$2,W$5)=0),2,IF(AND(ISNUMBER($K28),W$5&gt;=$K28,W$5&lt;=$L28,WEEKDAY(W$5,2)&lt;6,COUNTIF(휴일!$A$2:$A$2,W$5)=0),1,""))</f>
        <v/>
      </c>
      <c r="X28" s="32" t="str">
        <f aca="false">IF(AND(ISNUMBER($M28),X$5&gt;=$M28,X$5&lt;=IF($N28="",$L$1,$N28),WEEKDAY(X$5,2)&lt;6,COUNTIF(휴일!$A$2:$A$2,X$5)=0),2,IF(AND(ISNUMBER($K28),X$5&gt;=$K28,X$5&lt;=$L28,WEEKDAY(X$5,2)&lt;6,COUNTIF(휴일!$A$2:$A$2,X$5)=0),1,""))</f>
        <v/>
      </c>
      <c r="Y28" s="32" t="n">
        <f aca="false">IF(AND(ISNUMBER($M28),Y$5&gt;=$M28,Y$5&lt;=IF($N28="",$L$1,$N28),WEEKDAY(Y$5,2)&lt;6,COUNTIF(휴일!$A$2:$A$2,Y$5)=0),2,IF(AND(ISNUMBER($K28),Y$5&gt;=$K28,Y$5&lt;=$L28,WEEKDAY(Y$5,2)&lt;6,COUNTIF(휴일!$A$2:$A$2,Y$5)=0),1,""))</f>
        <v>1</v>
      </c>
      <c r="Z28" s="33" t="str">
        <f aca="false">IF(AND(ISNUMBER($M28),Z$5&gt;=$M28,Z$5&lt;=IF($N28="",$L$1,$N28),WEEKDAY(Z$5,2)&lt;6,COUNTIF(휴일!$A$2:$A$2,Z$5)=0),2,IF(AND(ISNUMBER($K28),Z$5&gt;=$K28,Z$5&lt;=$L28,WEEKDAY(Z$5,2)&lt;6,COUNTIF(휴일!$A$2:$A$2,Z$5)=0),1,""))</f>
        <v/>
      </c>
      <c r="AA28" s="33" t="str">
        <f aca="false">IF(AND(ISNUMBER($M28),AA$5&gt;=$M28,AA$5&lt;=IF($N28="",$L$1,$N28),WEEKDAY(AA$5,2)&lt;6,COUNTIF(휴일!$A$2:$A$2,AA$5)=0),2,IF(AND(ISNUMBER($K28),AA$5&gt;=$K28,AA$5&lt;=$L28,WEEKDAY(AA$5,2)&lt;6,COUNTIF(휴일!$A$2:$A$2,AA$5)=0),1,""))</f>
        <v/>
      </c>
      <c r="AB28" s="33" t="str">
        <f aca="false">IF(AND(ISNUMBER($M28),AB$5&gt;=$M28,AB$5&lt;=IF($N28="",$L$1,$N28),WEEKDAY(AB$5,2)&lt;6,COUNTIF(휴일!$A$2:$A$2,AB$5)=0),2,IF(AND(ISNUMBER($K28),AB$5&gt;=$K28,AB$5&lt;=$L28,WEEKDAY(AB$5,2)&lt;6,COUNTIF(휴일!$A$2:$A$2,AB$5)=0),1,""))</f>
        <v/>
      </c>
      <c r="AC28" s="32" t="str">
        <f aca="false">IF(AND(ISNUMBER($M28),AC$5&gt;=$M28,AC$5&lt;=IF($N28="",$L$1,$N28),WEEKDAY(AC$5,2)&lt;6,COUNTIF(휴일!$A$2:$A$2,AC$5)=0),2,IF(AND(ISNUMBER($K28),AC$5&gt;=$K28,AC$5&lt;=$L28,WEEKDAY(AC$5,2)&lt;6,COUNTIF(휴일!$A$2:$A$2,AC$5)=0),1,""))</f>
        <v/>
      </c>
      <c r="AD28" s="32" t="str">
        <f aca="false">IF(AND(ISNUMBER($M28),AD$5&gt;=$M28,AD$5&lt;=IF($N28="",$L$1,$N28),WEEKDAY(AD$5,2)&lt;6,COUNTIF(휴일!$A$2:$A$2,AD$5)=0),2,IF(AND(ISNUMBER($K28),AD$5&gt;=$K28,AD$5&lt;=$L28,WEEKDAY(AD$5,2)&lt;6,COUNTIF(휴일!$A$2:$A$2,AD$5)=0),1,""))</f>
        <v/>
      </c>
      <c r="AE28" s="32" t="str">
        <f aca="false">IF(AND(ISNUMBER($M28),AE$5&gt;=$M28,AE$5&lt;=IF($N28="",$L$1,$N28),WEEKDAY(AE$5,2)&lt;6,COUNTIF(휴일!$A$2:$A$2,AE$5)=0),2,IF(AND(ISNUMBER($K28),AE$5&gt;=$K28,AE$5&lt;=$L28,WEEKDAY(AE$5,2)&lt;6,COUNTIF(휴일!$A$2:$A$2,AE$5)=0),1,""))</f>
        <v/>
      </c>
      <c r="AF28" s="25" t="s">
        <v>83</v>
      </c>
      <c r="AG28" s="26" t="n">
        <v>1</v>
      </c>
      <c r="AH28" s="26" t="n">
        <v>1</v>
      </c>
    </row>
    <row r="29" customFormat="false" ht="54" hidden="false" customHeight="true" outlineLevel="0" collapsed="false">
      <c r="A29" s="2"/>
      <c r="B29" s="14"/>
      <c r="C29" s="14"/>
      <c r="D29" s="16"/>
      <c r="E29" s="16"/>
      <c r="F29" s="27" t="s">
        <v>84</v>
      </c>
      <c r="G29" s="27"/>
      <c r="H29" s="27" t="s">
        <v>33</v>
      </c>
      <c r="I29" s="27" t="s">
        <v>34</v>
      </c>
      <c r="J29" s="27" t="s">
        <v>85</v>
      </c>
      <c r="K29" s="28" t="n">
        <v>46303</v>
      </c>
      <c r="L29" s="28" t="n">
        <v>46303</v>
      </c>
      <c r="M29" s="34" t="n">
        <v>46303</v>
      </c>
      <c r="N29" s="34" t="n">
        <v>46303</v>
      </c>
      <c r="O29" s="29" t="n">
        <f aca="false">IF(OR(K29="",L29=""),"",IF(L29&lt;K29,"날짜 확인",NETWORKDAYS(K29,L29,휴일!$A$2:$A$2)))</f>
        <v>1</v>
      </c>
      <c r="P29" s="29" t="n">
        <f aca="false">IF(OR(M29="",N29=""),"",IF(N29&lt;M29,"날짜 확인",NETWORKDAYS(M29,N29,휴일!$A$2:$A$2)))</f>
        <v>1</v>
      </c>
      <c r="Q29" s="29" t="n">
        <f aca="false">IF(O29="","",IF($L$1&lt;K29,0,NETWORKDAYS(K29,MIN($L$1,L29),휴일!$A$2:$A$2)))</f>
        <v>1</v>
      </c>
      <c r="R29" s="29" t="n">
        <f aca="false">IF(M29="","",IF($L$1&lt;M29,0,NETWORKDAYS(M29,IF(N29="",$L$1,MIN($L$1,N29)),휴일!$A$2:$A$2)))</f>
        <v>1</v>
      </c>
      <c r="S29" s="30" t="n">
        <f aca="false">IF(O29="","",IF(O29=0,0,Q29/O29))</f>
        <v>1</v>
      </c>
      <c r="T29" s="31" t="n">
        <f aca="false">IF(OR(AND(AG29&lt;&gt;"",OR(NOT(ISNUMBER(AG29)),AG29&lt;=0)),AND(AH29&lt;&gt;"",OR(NOT(ISNUMBER(AH29)),AH29&lt;0)),AND(ISNUMBER(AG29),ISNUMBER(AH29),AH29&gt;AG29)),"수량 확인",IF(AF29="완료",1,IF(AF29="미착수",0,IF(AND(ISNUMBER(AG29),ISNUMBER(AH29)),AH29/AG29,""))))</f>
        <v>1</v>
      </c>
      <c r="U29" s="30" t="n">
        <f aca="false">IF(T29="","",T29)</f>
        <v>1</v>
      </c>
      <c r="V29" s="30" t="n">
        <f aca="false">IF(OR(U29="",S29=""),"",U29-S29)</f>
        <v>0</v>
      </c>
      <c r="W29" s="32" t="str">
        <f aca="false">IF(AND(ISNUMBER($M29),W$5&gt;=$M29,W$5&lt;=IF($N29="",$L$1,$N29),WEEKDAY(W$5,2)&lt;6,COUNTIF(휴일!$A$2:$A$2,W$5)=0),2,IF(AND(ISNUMBER($K29),W$5&gt;=$K29,W$5&lt;=$L29,WEEKDAY(W$5,2)&lt;6,COUNTIF(휴일!$A$2:$A$2,W$5)=0),1,""))</f>
        <v/>
      </c>
      <c r="X29" s="32" t="str">
        <f aca="false">IF(AND(ISNUMBER($M29),X$5&gt;=$M29,X$5&lt;=IF($N29="",$L$1,$N29),WEEKDAY(X$5,2)&lt;6,COUNTIF(휴일!$A$2:$A$2,X$5)=0),2,IF(AND(ISNUMBER($K29),X$5&gt;=$K29,X$5&lt;=$L29,WEEKDAY(X$5,2)&lt;6,COUNTIF(휴일!$A$2:$A$2,X$5)=0),1,""))</f>
        <v/>
      </c>
      <c r="Y29" s="32" t="n">
        <f aca="false">IF(AND(ISNUMBER($M29),Y$5&gt;=$M29,Y$5&lt;=IF($N29="",$L$1,$N29),WEEKDAY(Y$5,2)&lt;6,COUNTIF(휴일!$A$2:$A$2,Y$5)=0),2,IF(AND(ISNUMBER($K29),Y$5&gt;=$K29,Y$5&lt;=$L29,WEEKDAY(Y$5,2)&lt;6,COUNTIF(휴일!$A$2:$A$2,Y$5)=0),1,""))</f>
        <v>2</v>
      </c>
      <c r="Z29" s="33" t="str">
        <f aca="false">IF(AND(ISNUMBER($M29),Z$5&gt;=$M29,Z$5&lt;=IF($N29="",$L$1,$N29),WEEKDAY(Z$5,2)&lt;6,COUNTIF(휴일!$A$2:$A$2,Z$5)=0),2,IF(AND(ISNUMBER($K29),Z$5&gt;=$K29,Z$5&lt;=$L29,WEEKDAY(Z$5,2)&lt;6,COUNTIF(휴일!$A$2:$A$2,Z$5)=0),1,""))</f>
        <v/>
      </c>
      <c r="AA29" s="33" t="str">
        <f aca="false">IF(AND(ISNUMBER($M29),AA$5&gt;=$M29,AA$5&lt;=IF($N29="",$L$1,$N29),WEEKDAY(AA$5,2)&lt;6,COUNTIF(휴일!$A$2:$A$2,AA$5)=0),2,IF(AND(ISNUMBER($K29),AA$5&gt;=$K29,AA$5&lt;=$L29,WEEKDAY(AA$5,2)&lt;6,COUNTIF(휴일!$A$2:$A$2,AA$5)=0),1,""))</f>
        <v/>
      </c>
      <c r="AB29" s="33" t="str">
        <f aca="false">IF(AND(ISNUMBER($M29),AB$5&gt;=$M29,AB$5&lt;=IF($N29="",$L$1,$N29),WEEKDAY(AB$5,2)&lt;6,COUNTIF(휴일!$A$2:$A$2,AB$5)=0),2,IF(AND(ISNUMBER($K29),AB$5&gt;=$K29,AB$5&lt;=$L29,WEEKDAY(AB$5,2)&lt;6,COUNTIF(휴일!$A$2:$A$2,AB$5)=0),1,""))</f>
        <v/>
      </c>
      <c r="AC29" s="32" t="str">
        <f aca="false">IF(AND(ISNUMBER($M29),AC$5&gt;=$M29,AC$5&lt;=IF($N29="",$L$1,$N29),WEEKDAY(AC$5,2)&lt;6,COUNTIF(휴일!$A$2:$A$2,AC$5)=0),2,IF(AND(ISNUMBER($K29),AC$5&gt;=$K29,AC$5&lt;=$L29,WEEKDAY(AC$5,2)&lt;6,COUNTIF(휴일!$A$2:$A$2,AC$5)=0),1,""))</f>
        <v/>
      </c>
      <c r="AD29" s="32" t="str">
        <f aca="false">IF(AND(ISNUMBER($M29),AD$5&gt;=$M29,AD$5&lt;=IF($N29="",$L$1,$N29),WEEKDAY(AD$5,2)&lt;6,COUNTIF(휴일!$A$2:$A$2,AD$5)=0),2,IF(AND(ISNUMBER($K29),AD$5&gt;=$K29,AD$5&lt;=$L29,WEEKDAY(AD$5,2)&lt;6,COUNTIF(휴일!$A$2:$A$2,AD$5)=0),1,""))</f>
        <v/>
      </c>
      <c r="AE29" s="32" t="str">
        <f aca="false">IF(AND(ISNUMBER($M29),AE$5&gt;=$M29,AE$5&lt;=IF($N29="",$L$1,$N29),WEEKDAY(AE$5,2)&lt;6,COUNTIF(휴일!$A$2:$A$2,AE$5)=0),2,IF(AND(ISNUMBER($K29),AE$5&gt;=$K29,AE$5&lt;=$L29,WEEKDAY(AE$5,2)&lt;6,COUNTIF(휴일!$A$2:$A$2,AE$5)=0),1,""))</f>
        <v/>
      </c>
      <c r="AF29" s="25" t="s">
        <v>36</v>
      </c>
      <c r="AG29" s="26"/>
      <c r="AH29" s="26"/>
    </row>
    <row r="30" customFormat="false" ht="54" hidden="false" customHeight="true" outlineLevel="0" collapsed="false">
      <c r="A30" s="2"/>
      <c r="B30" s="14"/>
      <c r="C30" s="14"/>
      <c r="D30" s="16"/>
      <c r="E30" s="16"/>
      <c r="F30" s="27" t="s">
        <v>86</v>
      </c>
      <c r="G30" s="27"/>
      <c r="H30" s="27" t="s">
        <v>33</v>
      </c>
      <c r="I30" s="27" t="s">
        <v>34</v>
      </c>
      <c r="J30" s="27" t="s">
        <v>87</v>
      </c>
      <c r="K30" s="28" t="n">
        <v>46303</v>
      </c>
      <c r="L30" s="28" t="n">
        <v>46303</v>
      </c>
      <c r="M30" s="34" t="n">
        <v>46303</v>
      </c>
      <c r="N30" s="34" t="n">
        <v>46303</v>
      </c>
      <c r="O30" s="29" t="n">
        <f aca="false">IF(OR(K30="",L30=""),"",IF(L30&lt;K30,"날짜 확인",NETWORKDAYS(K30,L30,휴일!$A$2:$A$2)))</f>
        <v>1</v>
      </c>
      <c r="P30" s="29" t="n">
        <f aca="false">IF(OR(M30="",N30=""),"",IF(N30&lt;M30,"날짜 확인",NETWORKDAYS(M30,N30,휴일!$A$2:$A$2)))</f>
        <v>1</v>
      </c>
      <c r="Q30" s="29" t="n">
        <f aca="false">IF(O30="","",IF($L$1&lt;K30,0,NETWORKDAYS(K30,MIN($L$1,L30),휴일!$A$2:$A$2)))</f>
        <v>1</v>
      </c>
      <c r="R30" s="29" t="n">
        <f aca="false">IF(M30="","",IF($L$1&lt;M30,0,NETWORKDAYS(M30,IF(N30="",$L$1,MIN($L$1,N30)),휴일!$A$2:$A$2)))</f>
        <v>1</v>
      </c>
      <c r="S30" s="30" t="n">
        <f aca="false">IF(O30="","",IF(O30=0,0,Q30/O30))</f>
        <v>1</v>
      </c>
      <c r="T30" s="31" t="n">
        <f aca="false">IF(OR(AND(AG30&lt;&gt;"",OR(NOT(ISNUMBER(AG30)),AG30&lt;=0)),AND(AH30&lt;&gt;"",OR(NOT(ISNUMBER(AH30)),AH30&lt;0)),AND(ISNUMBER(AG30),ISNUMBER(AH30),AH30&gt;AG30)),"수량 확인",IF(AF30="완료",1,IF(AF30="미착수",0,IF(AND(ISNUMBER(AG30),ISNUMBER(AH30)),AH30/AG30,""))))</f>
        <v>1</v>
      </c>
      <c r="U30" s="30" t="n">
        <f aca="false">IF(T30="","",T30)</f>
        <v>1</v>
      </c>
      <c r="V30" s="30" t="n">
        <f aca="false">IF(OR(U30="",S30=""),"",U30-S30)</f>
        <v>0</v>
      </c>
      <c r="W30" s="32" t="str">
        <f aca="false">IF(AND(ISNUMBER($M30),W$5&gt;=$M30,W$5&lt;=IF($N30="",$L$1,$N30),WEEKDAY(W$5,2)&lt;6,COUNTIF(휴일!$A$2:$A$2,W$5)=0),2,IF(AND(ISNUMBER($K30),W$5&gt;=$K30,W$5&lt;=$L30,WEEKDAY(W$5,2)&lt;6,COUNTIF(휴일!$A$2:$A$2,W$5)=0),1,""))</f>
        <v/>
      </c>
      <c r="X30" s="32" t="str">
        <f aca="false">IF(AND(ISNUMBER($M30),X$5&gt;=$M30,X$5&lt;=IF($N30="",$L$1,$N30),WEEKDAY(X$5,2)&lt;6,COUNTIF(휴일!$A$2:$A$2,X$5)=0),2,IF(AND(ISNUMBER($K30),X$5&gt;=$K30,X$5&lt;=$L30,WEEKDAY(X$5,2)&lt;6,COUNTIF(휴일!$A$2:$A$2,X$5)=0),1,""))</f>
        <v/>
      </c>
      <c r="Y30" s="32" t="n">
        <f aca="false">IF(AND(ISNUMBER($M30),Y$5&gt;=$M30,Y$5&lt;=IF($N30="",$L$1,$N30),WEEKDAY(Y$5,2)&lt;6,COUNTIF(휴일!$A$2:$A$2,Y$5)=0),2,IF(AND(ISNUMBER($K30),Y$5&gt;=$K30,Y$5&lt;=$L30,WEEKDAY(Y$5,2)&lt;6,COUNTIF(휴일!$A$2:$A$2,Y$5)=0),1,""))</f>
        <v>2</v>
      </c>
      <c r="Z30" s="33" t="str">
        <f aca="false">IF(AND(ISNUMBER($M30),Z$5&gt;=$M30,Z$5&lt;=IF($N30="",$L$1,$N30),WEEKDAY(Z$5,2)&lt;6,COUNTIF(휴일!$A$2:$A$2,Z$5)=0),2,IF(AND(ISNUMBER($K30),Z$5&gt;=$K30,Z$5&lt;=$L30,WEEKDAY(Z$5,2)&lt;6,COUNTIF(휴일!$A$2:$A$2,Z$5)=0),1,""))</f>
        <v/>
      </c>
      <c r="AA30" s="33" t="str">
        <f aca="false">IF(AND(ISNUMBER($M30),AA$5&gt;=$M30,AA$5&lt;=IF($N30="",$L$1,$N30),WEEKDAY(AA$5,2)&lt;6,COUNTIF(휴일!$A$2:$A$2,AA$5)=0),2,IF(AND(ISNUMBER($K30),AA$5&gt;=$K30,AA$5&lt;=$L30,WEEKDAY(AA$5,2)&lt;6,COUNTIF(휴일!$A$2:$A$2,AA$5)=0),1,""))</f>
        <v/>
      </c>
      <c r="AB30" s="33" t="str">
        <f aca="false">IF(AND(ISNUMBER($M30),AB$5&gt;=$M30,AB$5&lt;=IF($N30="",$L$1,$N30),WEEKDAY(AB$5,2)&lt;6,COUNTIF(휴일!$A$2:$A$2,AB$5)=0),2,IF(AND(ISNUMBER($K30),AB$5&gt;=$K30,AB$5&lt;=$L30,WEEKDAY(AB$5,2)&lt;6,COUNTIF(휴일!$A$2:$A$2,AB$5)=0),1,""))</f>
        <v/>
      </c>
      <c r="AC30" s="32" t="str">
        <f aca="false">IF(AND(ISNUMBER($M30),AC$5&gt;=$M30,AC$5&lt;=IF($N30="",$L$1,$N30),WEEKDAY(AC$5,2)&lt;6,COUNTIF(휴일!$A$2:$A$2,AC$5)=0),2,IF(AND(ISNUMBER($K30),AC$5&gt;=$K30,AC$5&lt;=$L30,WEEKDAY(AC$5,2)&lt;6,COUNTIF(휴일!$A$2:$A$2,AC$5)=0),1,""))</f>
        <v/>
      </c>
      <c r="AD30" s="32" t="str">
        <f aca="false">IF(AND(ISNUMBER($M30),AD$5&gt;=$M30,AD$5&lt;=IF($N30="",$L$1,$N30),WEEKDAY(AD$5,2)&lt;6,COUNTIF(휴일!$A$2:$A$2,AD$5)=0),2,IF(AND(ISNUMBER($K30),AD$5&gt;=$K30,AD$5&lt;=$L30,WEEKDAY(AD$5,2)&lt;6,COUNTIF(휴일!$A$2:$A$2,AD$5)=0),1,""))</f>
        <v/>
      </c>
      <c r="AE30" s="32" t="str">
        <f aca="false">IF(AND(ISNUMBER($M30),AE$5&gt;=$M30,AE$5&lt;=IF($N30="",$L$1,$N30),WEEKDAY(AE$5,2)&lt;6,COUNTIF(휴일!$A$2:$A$2,AE$5)=0),2,IF(AND(ISNUMBER($K30),AE$5&gt;=$K30,AE$5&lt;=$L30,WEEKDAY(AE$5,2)&lt;6,COUNTIF(휴일!$A$2:$A$2,AE$5)=0),1,""))</f>
        <v/>
      </c>
      <c r="AF30" s="25" t="s">
        <v>36</v>
      </c>
      <c r="AG30" s="26"/>
      <c r="AH30" s="26"/>
    </row>
    <row r="31" customFormat="false" ht="54" hidden="false" customHeight="true" outlineLevel="0" collapsed="false">
      <c r="A31" s="2"/>
      <c r="B31" s="14"/>
      <c r="C31" s="14"/>
      <c r="D31" s="16"/>
      <c r="E31" s="16"/>
      <c r="F31" s="27" t="s">
        <v>88</v>
      </c>
      <c r="G31" s="27"/>
      <c r="H31" s="27" t="s">
        <v>34</v>
      </c>
      <c r="I31" s="27" t="s">
        <v>33</v>
      </c>
      <c r="J31" s="27" t="s">
        <v>89</v>
      </c>
      <c r="K31" s="28" t="n">
        <v>46303</v>
      </c>
      <c r="L31" s="28" t="n">
        <v>46303</v>
      </c>
      <c r="M31" s="34" t="n">
        <v>46303</v>
      </c>
      <c r="N31" s="34" t="n">
        <v>46303</v>
      </c>
      <c r="O31" s="29" t="n">
        <f aca="false">IF(OR(K31="",L31=""),"",IF(L31&lt;K31,"날짜 확인",NETWORKDAYS(K31,L31,휴일!$A$2:$A$2)))</f>
        <v>1</v>
      </c>
      <c r="P31" s="29" t="n">
        <f aca="false">IF(OR(M31="",N31=""),"",IF(N31&lt;M31,"날짜 확인",NETWORKDAYS(M31,N31,휴일!$A$2:$A$2)))</f>
        <v>1</v>
      </c>
      <c r="Q31" s="29" t="n">
        <f aca="false">IF(O31="","",IF($L$1&lt;K31,0,NETWORKDAYS(K31,MIN($L$1,L31),휴일!$A$2:$A$2)))</f>
        <v>1</v>
      </c>
      <c r="R31" s="29" t="n">
        <f aca="false">IF(M31="","",IF($L$1&lt;M31,0,NETWORKDAYS(M31,IF(N31="",$L$1,MIN($L$1,N31)),휴일!$A$2:$A$2)))</f>
        <v>1</v>
      </c>
      <c r="S31" s="30" t="n">
        <f aca="false">IF(O31="","",IF(O31=0,0,Q31/O31))</f>
        <v>1</v>
      </c>
      <c r="T31" s="31" t="n">
        <f aca="false">IF(OR(AND(AG31&lt;&gt;"",OR(NOT(ISNUMBER(AG31)),AG31&lt;=0)),AND(AH31&lt;&gt;"",OR(NOT(ISNUMBER(AH31)),AH31&lt;0)),AND(ISNUMBER(AG31),ISNUMBER(AH31),AH31&gt;AG31)),"수량 확인",IF(AF31="완료",1,IF(AF31="미착수",0,IF(AND(ISNUMBER(AG31),ISNUMBER(AH31)),AH31/AG31,""))))</f>
        <v>1</v>
      </c>
      <c r="U31" s="30" t="n">
        <f aca="false">IF(T31="","",T31)</f>
        <v>1</v>
      </c>
      <c r="V31" s="30" t="n">
        <f aca="false">IF(OR(U31="",S31=""),"",U31-S31)</f>
        <v>0</v>
      </c>
      <c r="W31" s="32" t="str">
        <f aca="false">IF(AND(ISNUMBER($M31),W$5&gt;=$M31,W$5&lt;=IF($N31="",$L$1,$N31),WEEKDAY(W$5,2)&lt;6,COUNTIF(휴일!$A$2:$A$2,W$5)=0),2,IF(AND(ISNUMBER($K31),W$5&gt;=$K31,W$5&lt;=$L31,WEEKDAY(W$5,2)&lt;6,COUNTIF(휴일!$A$2:$A$2,W$5)=0),1,""))</f>
        <v/>
      </c>
      <c r="X31" s="32" t="str">
        <f aca="false">IF(AND(ISNUMBER($M31),X$5&gt;=$M31,X$5&lt;=IF($N31="",$L$1,$N31),WEEKDAY(X$5,2)&lt;6,COUNTIF(휴일!$A$2:$A$2,X$5)=0),2,IF(AND(ISNUMBER($K31),X$5&gt;=$K31,X$5&lt;=$L31,WEEKDAY(X$5,2)&lt;6,COUNTIF(휴일!$A$2:$A$2,X$5)=0),1,""))</f>
        <v/>
      </c>
      <c r="Y31" s="32" t="n">
        <f aca="false">IF(AND(ISNUMBER($M31),Y$5&gt;=$M31,Y$5&lt;=IF($N31="",$L$1,$N31),WEEKDAY(Y$5,2)&lt;6,COUNTIF(휴일!$A$2:$A$2,Y$5)=0),2,IF(AND(ISNUMBER($K31),Y$5&gt;=$K31,Y$5&lt;=$L31,WEEKDAY(Y$5,2)&lt;6,COUNTIF(휴일!$A$2:$A$2,Y$5)=0),1,""))</f>
        <v>2</v>
      </c>
      <c r="Z31" s="33" t="str">
        <f aca="false">IF(AND(ISNUMBER($M31),Z$5&gt;=$M31,Z$5&lt;=IF($N31="",$L$1,$N31),WEEKDAY(Z$5,2)&lt;6,COUNTIF(휴일!$A$2:$A$2,Z$5)=0),2,IF(AND(ISNUMBER($K31),Z$5&gt;=$K31,Z$5&lt;=$L31,WEEKDAY(Z$5,2)&lt;6,COUNTIF(휴일!$A$2:$A$2,Z$5)=0),1,""))</f>
        <v/>
      </c>
      <c r="AA31" s="33" t="str">
        <f aca="false">IF(AND(ISNUMBER($M31),AA$5&gt;=$M31,AA$5&lt;=IF($N31="",$L$1,$N31),WEEKDAY(AA$5,2)&lt;6,COUNTIF(휴일!$A$2:$A$2,AA$5)=0),2,IF(AND(ISNUMBER($K31),AA$5&gt;=$K31,AA$5&lt;=$L31,WEEKDAY(AA$5,2)&lt;6,COUNTIF(휴일!$A$2:$A$2,AA$5)=0),1,""))</f>
        <v/>
      </c>
      <c r="AB31" s="33" t="str">
        <f aca="false">IF(AND(ISNUMBER($M31),AB$5&gt;=$M31,AB$5&lt;=IF($N31="",$L$1,$N31),WEEKDAY(AB$5,2)&lt;6,COUNTIF(휴일!$A$2:$A$2,AB$5)=0),2,IF(AND(ISNUMBER($K31),AB$5&gt;=$K31,AB$5&lt;=$L31,WEEKDAY(AB$5,2)&lt;6,COUNTIF(휴일!$A$2:$A$2,AB$5)=0),1,""))</f>
        <v/>
      </c>
      <c r="AC31" s="32" t="str">
        <f aca="false">IF(AND(ISNUMBER($M31),AC$5&gt;=$M31,AC$5&lt;=IF($N31="",$L$1,$N31),WEEKDAY(AC$5,2)&lt;6,COUNTIF(휴일!$A$2:$A$2,AC$5)=0),2,IF(AND(ISNUMBER($K31),AC$5&gt;=$K31,AC$5&lt;=$L31,WEEKDAY(AC$5,2)&lt;6,COUNTIF(휴일!$A$2:$A$2,AC$5)=0),1,""))</f>
        <v/>
      </c>
      <c r="AD31" s="32" t="str">
        <f aca="false">IF(AND(ISNUMBER($M31),AD$5&gt;=$M31,AD$5&lt;=IF($N31="",$L$1,$N31),WEEKDAY(AD$5,2)&lt;6,COUNTIF(휴일!$A$2:$A$2,AD$5)=0),2,IF(AND(ISNUMBER($K31),AD$5&gt;=$K31,AD$5&lt;=$L31,WEEKDAY(AD$5,2)&lt;6,COUNTIF(휴일!$A$2:$A$2,AD$5)=0),1,""))</f>
        <v/>
      </c>
      <c r="AE31" s="32" t="str">
        <f aca="false">IF(AND(ISNUMBER($M31),AE$5&gt;=$M31,AE$5&lt;=IF($N31="",$L$1,$N31),WEEKDAY(AE$5,2)&lt;6,COUNTIF(휴일!$A$2:$A$2,AE$5)=0),2,IF(AND(ISNUMBER($K31),AE$5&gt;=$K31,AE$5&lt;=$L31,WEEKDAY(AE$5,2)&lt;6,COUNTIF(휴일!$A$2:$A$2,AE$5)=0),1,""))</f>
        <v/>
      </c>
      <c r="AF31" s="25" t="s">
        <v>36</v>
      </c>
      <c r="AG31" s="26"/>
      <c r="AH31" s="26"/>
    </row>
    <row r="32" customFormat="false" ht="54" hidden="false" customHeight="true" outlineLevel="0" collapsed="false">
      <c r="A32" s="2"/>
      <c r="B32" s="14"/>
      <c r="C32" s="14"/>
      <c r="D32" s="16"/>
      <c r="E32" s="16"/>
      <c r="F32" s="27" t="s">
        <v>90</v>
      </c>
      <c r="G32" s="27"/>
      <c r="H32" s="27" t="s">
        <v>33</v>
      </c>
      <c r="I32" s="27" t="s">
        <v>34</v>
      </c>
      <c r="J32" s="27" t="s">
        <v>91</v>
      </c>
      <c r="K32" s="28" t="n">
        <v>46303</v>
      </c>
      <c r="L32" s="28" t="n">
        <v>46303</v>
      </c>
      <c r="M32" s="34" t="n">
        <v>46303</v>
      </c>
      <c r="N32" s="34" t="n">
        <v>46303</v>
      </c>
      <c r="O32" s="29" t="n">
        <f aca="false">IF(OR(K32="",L32=""),"",IF(L32&lt;K32,"날짜 확인",NETWORKDAYS(K32,L32,휴일!$A$2:$A$2)))</f>
        <v>1</v>
      </c>
      <c r="P32" s="29" t="n">
        <f aca="false">IF(OR(M32="",N32=""),"",IF(N32&lt;M32,"날짜 확인",NETWORKDAYS(M32,N32,휴일!$A$2:$A$2)))</f>
        <v>1</v>
      </c>
      <c r="Q32" s="29" t="n">
        <f aca="false">IF(O32="","",IF($L$1&lt;K32,0,NETWORKDAYS(K32,MIN($L$1,L32),휴일!$A$2:$A$2)))</f>
        <v>1</v>
      </c>
      <c r="R32" s="29" t="n">
        <f aca="false">IF(M32="","",IF($L$1&lt;M32,0,NETWORKDAYS(M32,IF(N32="",$L$1,MIN($L$1,N32)),휴일!$A$2:$A$2)))</f>
        <v>1</v>
      </c>
      <c r="S32" s="30" t="n">
        <f aca="false">IF(O32="","",IF(O32=0,0,Q32/O32))</f>
        <v>1</v>
      </c>
      <c r="T32" s="31" t="n">
        <f aca="false">IF(OR(AND(AG32&lt;&gt;"",OR(NOT(ISNUMBER(AG32)),AG32&lt;=0)),AND(AH32&lt;&gt;"",OR(NOT(ISNUMBER(AH32)),AH32&lt;0)),AND(ISNUMBER(AG32),ISNUMBER(AH32),AH32&gt;AG32)),"수량 확인",IF(AF32="완료",1,IF(AF32="미착수",0,IF(AND(ISNUMBER(AG32),ISNUMBER(AH32)),AH32/AG32,""))))</f>
        <v>1</v>
      </c>
      <c r="U32" s="30" t="n">
        <f aca="false">IF(T32="","",T32)</f>
        <v>1</v>
      </c>
      <c r="V32" s="30" t="n">
        <f aca="false">IF(OR(U32="",S32=""),"",U32-S32)</f>
        <v>0</v>
      </c>
      <c r="W32" s="32" t="str">
        <f aca="false">IF(AND(ISNUMBER($M32),W$5&gt;=$M32,W$5&lt;=IF($N32="",$L$1,$N32),WEEKDAY(W$5,2)&lt;6,COUNTIF(휴일!$A$2:$A$2,W$5)=0),2,IF(AND(ISNUMBER($K32),W$5&gt;=$K32,W$5&lt;=$L32,WEEKDAY(W$5,2)&lt;6,COUNTIF(휴일!$A$2:$A$2,W$5)=0),1,""))</f>
        <v/>
      </c>
      <c r="X32" s="32" t="str">
        <f aca="false">IF(AND(ISNUMBER($M32),X$5&gt;=$M32,X$5&lt;=IF($N32="",$L$1,$N32),WEEKDAY(X$5,2)&lt;6,COUNTIF(휴일!$A$2:$A$2,X$5)=0),2,IF(AND(ISNUMBER($K32),X$5&gt;=$K32,X$5&lt;=$L32,WEEKDAY(X$5,2)&lt;6,COUNTIF(휴일!$A$2:$A$2,X$5)=0),1,""))</f>
        <v/>
      </c>
      <c r="Y32" s="32" t="n">
        <f aca="false">IF(AND(ISNUMBER($M32),Y$5&gt;=$M32,Y$5&lt;=IF($N32="",$L$1,$N32),WEEKDAY(Y$5,2)&lt;6,COUNTIF(휴일!$A$2:$A$2,Y$5)=0),2,IF(AND(ISNUMBER($K32),Y$5&gt;=$K32,Y$5&lt;=$L32,WEEKDAY(Y$5,2)&lt;6,COUNTIF(휴일!$A$2:$A$2,Y$5)=0),1,""))</f>
        <v>2</v>
      </c>
      <c r="Z32" s="33" t="str">
        <f aca="false">IF(AND(ISNUMBER($M32),Z$5&gt;=$M32,Z$5&lt;=IF($N32="",$L$1,$N32),WEEKDAY(Z$5,2)&lt;6,COUNTIF(휴일!$A$2:$A$2,Z$5)=0),2,IF(AND(ISNUMBER($K32),Z$5&gt;=$K32,Z$5&lt;=$L32,WEEKDAY(Z$5,2)&lt;6,COUNTIF(휴일!$A$2:$A$2,Z$5)=0),1,""))</f>
        <v/>
      </c>
      <c r="AA32" s="33" t="str">
        <f aca="false">IF(AND(ISNUMBER($M32),AA$5&gt;=$M32,AA$5&lt;=IF($N32="",$L$1,$N32),WEEKDAY(AA$5,2)&lt;6,COUNTIF(휴일!$A$2:$A$2,AA$5)=0),2,IF(AND(ISNUMBER($K32),AA$5&gt;=$K32,AA$5&lt;=$L32,WEEKDAY(AA$5,2)&lt;6,COUNTIF(휴일!$A$2:$A$2,AA$5)=0),1,""))</f>
        <v/>
      </c>
      <c r="AB32" s="33" t="str">
        <f aca="false">IF(AND(ISNUMBER($M32),AB$5&gt;=$M32,AB$5&lt;=IF($N32="",$L$1,$N32),WEEKDAY(AB$5,2)&lt;6,COUNTIF(휴일!$A$2:$A$2,AB$5)=0),2,IF(AND(ISNUMBER($K32),AB$5&gt;=$K32,AB$5&lt;=$L32,WEEKDAY(AB$5,2)&lt;6,COUNTIF(휴일!$A$2:$A$2,AB$5)=0),1,""))</f>
        <v/>
      </c>
      <c r="AC32" s="32" t="str">
        <f aca="false">IF(AND(ISNUMBER($M32),AC$5&gt;=$M32,AC$5&lt;=IF($N32="",$L$1,$N32),WEEKDAY(AC$5,2)&lt;6,COUNTIF(휴일!$A$2:$A$2,AC$5)=0),2,IF(AND(ISNUMBER($K32),AC$5&gt;=$K32,AC$5&lt;=$L32,WEEKDAY(AC$5,2)&lt;6,COUNTIF(휴일!$A$2:$A$2,AC$5)=0),1,""))</f>
        <v/>
      </c>
      <c r="AD32" s="32" t="str">
        <f aca="false">IF(AND(ISNUMBER($M32),AD$5&gt;=$M32,AD$5&lt;=IF($N32="",$L$1,$N32),WEEKDAY(AD$5,2)&lt;6,COUNTIF(휴일!$A$2:$A$2,AD$5)=0),2,IF(AND(ISNUMBER($K32),AD$5&gt;=$K32,AD$5&lt;=$L32,WEEKDAY(AD$5,2)&lt;6,COUNTIF(휴일!$A$2:$A$2,AD$5)=0),1,""))</f>
        <v/>
      </c>
      <c r="AE32" s="32" t="str">
        <f aca="false">IF(AND(ISNUMBER($M32),AE$5&gt;=$M32,AE$5&lt;=IF($N32="",$L$1,$N32),WEEKDAY(AE$5,2)&lt;6,COUNTIF(휴일!$A$2:$A$2,AE$5)=0),2,IF(AND(ISNUMBER($K32),AE$5&gt;=$K32,AE$5&lt;=$L32,WEEKDAY(AE$5,2)&lt;6,COUNTIF(휴일!$A$2:$A$2,AE$5)=0),1,""))</f>
        <v/>
      </c>
      <c r="AF32" s="25" t="s">
        <v>36</v>
      </c>
      <c r="AG32" s="26"/>
      <c r="AH32" s="26"/>
    </row>
    <row r="33" customFormat="false" ht="54" hidden="false" customHeight="true" outlineLevel="0" collapsed="false">
      <c r="A33" s="2"/>
      <c r="B33" s="14"/>
      <c r="C33" s="14"/>
      <c r="D33" s="16"/>
      <c r="E33" s="16"/>
      <c r="F33" s="27" t="s">
        <v>92</v>
      </c>
      <c r="G33" s="27"/>
      <c r="H33" s="27" t="s">
        <v>33</v>
      </c>
      <c r="I33" s="27" t="s">
        <v>34</v>
      </c>
      <c r="J33" s="27" t="s">
        <v>93</v>
      </c>
      <c r="K33" s="28" t="n">
        <v>46303</v>
      </c>
      <c r="L33" s="28" t="n">
        <v>46303</v>
      </c>
      <c r="M33" s="34" t="n">
        <v>46303</v>
      </c>
      <c r="N33" s="34" t="n">
        <v>46303</v>
      </c>
      <c r="O33" s="29" t="n">
        <f aca="false">IF(OR(K33="",L33=""),"",IF(L33&lt;K33,"날짜 확인",NETWORKDAYS(K33,L33,휴일!$A$2:$A$2)))</f>
        <v>1</v>
      </c>
      <c r="P33" s="29" t="n">
        <f aca="false">IF(OR(M33="",N33=""),"",IF(N33&lt;M33,"날짜 확인",NETWORKDAYS(M33,N33,휴일!$A$2:$A$2)))</f>
        <v>1</v>
      </c>
      <c r="Q33" s="29" t="n">
        <f aca="false">IF(O33="","",IF($L$1&lt;K33,0,NETWORKDAYS(K33,MIN($L$1,L33),휴일!$A$2:$A$2)))</f>
        <v>1</v>
      </c>
      <c r="R33" s="29" t="n">
        <f aca="false">IF(M33="","",IF($L$1&lt;M33,0,NETWORKDAYS(M33,IF(N33="",$L$1,MIN($L$1,N33)),휴일!$A$2:$A$2)))</f>
        <v>1</v>
      </c>
      <c r="S33" s="30" t="n">
        <f aca="false">IF(O33="","",IF(O33=0,0,Q33/O33))</f>
        <v>1</v>
      </c>
      <c r="T33" s="31" t="n">
        <f aca="false">IF(OR(AND(AG33&lt;&gt;"",OR(NOT(ISNUMBER(AG33)),AG33&lt;=0)),AND(AH33&lt;&gt;"",OR(NOT(ISNUMBER(AH33)),AH33&lt;0)),AND(ISNUMBER(AG33),ISNUMBER(AH33),AH33&gt;AG33)),"수량 확인",IF(AF33="완료",1,IF(AF33="미착수",0,IF(AND(ISNUMBER(AG33),ISNUMBER(AH33)),AH33/AG33,""))))</f>
        <v>1</v>
      </c>
      <c r="U33" s="30" t="n">
        <f aca="false">IF(T33="","",T33)</f>
        <v>1</v>
      </c>
      <c r="V33" s="30" t="n">
        <f aca="false">IF(OR(U33="",S33=""),"",U33-S33)</f>
        <v>0</v>
      </c>
      <c r="W33" s="32" t="str">
        <f aca="false">IF(AND(ISNUMBER($M33),W$5&gt;=$M33,W$5&lt;=IF($N33="",$L$1,$N33),WEEKDAY(W$5,2)&lt;6,COUNTIF(휴일!$A$2:$A$2,W$5)=0),2,IF(AND(ISNUMBER($K33),W$5&gt;=$K33,W$5&lt;=$L33,WEEKDAY(W$5,2)&lt;6,COUNTIF(휴일!$A$2:$A$2,W$5)=0),1,""))</f>
        <v/>
      </c>
      <c r="X33" s="32" t="str">
        <f aca="false">IF(AND(ISNUMBER($M33),X$5&gt;=$M33,X$5&lt;=IF($N33="",$L$1,$N33),WEEKDAY(X$5,2)&lt;6,COUNTIF(휴일!$A$2:$A$2,X$5)=0),2,IF(AND(ISNUMBER($K33),X$5&gt;=$K33,X$5&lt;=$L33,WEEKDAY(X$5,2)&lt;6,COUNTIF(휴일!$A$2:$A$2,X$5)=0),1,""))</f>
        <v/>
      </c>
      <c r="Y33" s="32" t="n">
        <f aca="false">IF(AND(ISNUMBER($M33),Y$5&gt;=$M33,Y$5&lt;=IF($N33="",$L$1,$N33),WEEKDAY(Y$5,2)&lt;6,COUNTIF(휴일!$A$2:$A$2,Y$5)=0),2,IF(AND(ISNUMBER($K33),Y$5&gt;=$K33,Y$5&lt;=$L33,WEEKDAY(Y$5,2)&lt;6,COUNTIF(휴일!$A$2:$A$2,Y$5)=0),1,""))</f>
        <v>2</v>
      </c>
      <c r="Z33" s="33" t="str">
        <f aca="false">IF(AND(ISNUMBER($M33),Z$5&gt;=$M33,Z$5&lt;=IF($N33="",$L$1,$N33),WEEKDAY(Z$5,2)&lt;6,COUNTIF(휴일!$A$2:$A$2,Z$5)=0),2,IF(AND(ISNUMBER($K33),Z$5&gt;=$K33,Z$5&lt;=$L33,WEEKDAY(Z$5,2)&lt;6,COUNTIF(휴일!$A$2:$A$2,Z$5)=0),1,""))</f>
        <v/>
      </c>
      <c r="AA33" s="33" t="str">
        <f aca="false">IF(AND(ISNUMBER($M33),AA$5&gt;=$M33,AA$5&lt;=IF($N33="",$L$1,$N33),WEEKDAY(AA$5,2)&lt;6,COUNTIF(휴일!$A$2:$A$2,AA$5)=0),2,IF(AND(ISNUMBER($K33),AA$5&gt;=$K33,AA$5&lt;=$L33,WEEKDAY(AA$5,2)&lt;6,COUNTIF(휴일!$A$2:$A$2,AA$5)=0),1,""))</f>
        <v/>
      </c>
      <c r="AB33" s="33" t="str">
        <f aca="false">IF(AND(ISNUMBER($M33),AB$5&gt;=$M33,AB$5&lt;=IF($N33="",$L$1,$N33),WEEKDAY(AB$5,2)&lt;6,COUNTIF(휴일!$A$2:$A$2,AB$5)=0),2,IF(AND(ISNUMBER($K33),AB$5&gt;=$K33,AB$5&lt;=$L33,WEEKDAY(AB$5,2)&lt;6,COUNTIF(휴일!$A$2:$A$2,AB$5)=0),1,""))</f>
        <v/>
      </c>
      <c r="AC33" s="32" t="str">
        <f aca="false">IF(AND(ISNUMBER($M33),AC$5&gt;=$M33,AC$5&lt;=IF($N33="",$L$1,$N33),WEEKDAY(AC$5,2)&lt;6,COUNTIF(휴일!$A$2:$A$2,AC$5)=0),2,IF(AND(ISNUMBER($K33),AC$5&gt;=$K33,AC$5&lt;=$L33,WEEKDAY(AC$5,2)&lt;6,COUNTIF(휴일!$A$2:$A$2,AC$5)=0),1,""))</f>
        <v/>
      </c>
      <c r="AD33" s="32" t="str">
        <f aca="false">IF(AND(ISNUMBER($M33),AD$5&gt;=$M33,AD$5&lt;=IF($N33="",$L$1,$N33),WEEKDAY(AD$5,2)&lt;6,COUNTIF(휴일!$A$2:$A$2,AD$5)=0),2,IF(AND(ISNUMBER($K33),AD$5&gt;=$K33,AD$5&lt;=$L33,WEEKDAY(AD$5,2)&lt;6,COUNTIF(휴일!$A$2:$A$2,AD$5)=0),1,""))</f>
        <v/>
      </c>
      <c r="AE33" s="32" t="str">
        <f aca="false">IF(AND(ISNUMBER($M33),AE$5&gt;=$M33,AE$5&lt;=IF($N33="",$L$1,$N33),WEEKDAY(AE$5,2)&lt;6,COUNTIF(휴일!$A$2:$A$2,AE$5)=0),2,IF(AND(ISNUMBER($K33),AE$5&gt;=$K33,AE$5&lt;=$L33,WEEKDAY(AE$5,2)&lt;6,COUNTIF(휴일!$A$2:$A$2,AE$5)=0),1,""))</f>
        <v/>
      </c>
      <c r="AF33" s="25" t="s">
        <v>36</v>
      </c>
      <c r="AG33" s="26"/>
      <c r="AH33" s="26"/>
    </row>
    <row r="34" customFormat="false" ht="54" hidden="false" customHeight="true" outlineLevel="0" collapsed="false">
      <c r="A34" s="2"/>
      <c r="B34" s="14"/>
      <c r="C34" s="14"/>
      <c r="D34" s="16"/>
      <c r="E34" s="16"/>
      <c r="F34" s="27" t="s">
        <v>94</v>
      </c>
      <c r="G34" s="27"/>
      <c r="H34" s="27" t="s">
        <v>34</v>
      </c>
      <c r="I34" s="27" t="s">
        <v>33</v>
      </c>
      <c r="J34" s="27" t="s">
        <v>95</v>
      </c>
      <c r="K34" s="28" t="n">
        <v>46303</v>
      </c>
      <c r="L34" s="28" t="n">
        <v>46303</v>
      </c>
      <c r="M34" s="34" t="n">
        <v>46303</v>
      </c>
      <c r="N34" s="34" t="n">
        <v>46303</v>
      </c>
      <c r="O34" s="29" t="n">
        <f aca="false">IF(OR(K34="",L34=""),"",IF(L34&lt;K34,"날짜 확인",NETWORKDAYS(K34,L34,휴일!$A$2:$A$2)))</f>
        <v>1</v>
      </c>
      <c r="P34" s="29" t="n">
        <f aca="false">IF(OR(M34="",N34=""),"",IF(N34&lt;M34,"날짜 확인",NETWORKDAYS(M34,N34,휴일!$A$2:$A$2)))</f>
        <v>1</v>
      </c>
      <c r="Q34" s="29" t="n">
        <f aca="false">IF(O34="","",IF($L$1&lt;K34,0,NETWORKDAYS(K34,MIN($L$1,L34),휴일!$A$2:$A$2)))</f>
        <v>1</v>
      </c>
      <c r="R34" s="29" t="n">
        <f aca="false">IF(M34="","",IF($L$1&lt;M34,0,NETWORKDAYS(M34,IF(N34="",$L$1,MIN($L$1,N34)),휴일!$A$2:$A$2)))</f>
        <v>1</v>
      </c>
      <c r="S34" s="30" t="n">
        <f aca="false">IF(O34="","",IF(O34=0,0,Q34/O34))</f>
        <v>1</v>
      </c>
      <c r="T34" s="31" t="n">
        <f aca="false">IF(OR(AND(AG34&lt;&gt;"",OR(NOT(ISNUMBER(AG34)),AG34&lt;=0)),AND(AH34&lt;&gt;"",OR(NOT(ISNUMBER(AH34)),AH34&lt;0)),AND(ISNUMBER(AG34),ISNUMBER(AH34),AH34&gt;AG34)),"수량 확인",IF(AF34="완료",1,IF(AF34="미착수",0,IF(AND(ISNUMBER(AG34),ISNUMBER(AH34)),AH34/AG34,""))))</f>
        <v>1</v>
      </c>
      <c r="U34" s="30" t="n">
        <f aca="false">IF(T34="","",T34)</f>
        <v>1</v>
      </c>
      <c r="V34" s="30" t="n">
        <f aca="false">IF(OR(U34="",S34=""),"",U34-S34)</f>
        <v>0</v>
      </c>
      <c r="W34" s="32" t="str">
        <f aca="false">IF(AND(ISNUMBER($M34),W$5&gt;=$M34,W$5&lt;=IF($N34="",$L$1,$N34),WEEKDAY(W$5,2)&lt;6,COUNTIF(휴일!$A$2:$A$2,W$5)=0),2,IF(AND(ISNUMBER($K34),W$5&gt;=$K34,W$5&lt;=$L34,WEEKDAY(W$5,2)&lt;6,COUNTIF(휴일!$A$2:$A$2,W$5)=0),1,""))</f>
        <v/>
      </c>
      <c r="X34" s="32" t="str">
        <f aca="false">IF(AND(ISNUMBER($M34),X$5&gt;=$M34,X$5&lt;=IF($N34="",$L$1,$N34),WEEKDAY(X$5,2)&lt;6,COUNTIF(휴일!$A$2:$A$2,X$5)=0),2,IF(AND(ISNUMBER($K34),X$5&gt;=$K34,X$5&lt;=$L34,WEEKDAY(X$5,2)&lt;6,COUNTIF(휴일!$A$2:$A$2,X$5)=0),1,""))</f>
        <v/>
      </c>
      <c r="Y34" s="32" t="n">
        <f aca="false">IF(AND(ISNUMBER($M34),Y$5&gt;=$M34,Y$5&lt;=IF($N34="",$L$1,$N34),WEEKDAY(Y$5,2)&lt;6,COUNTIF(휴일!$A$2:$A$2,Y$5)=0),2,IF(AND(ISNUMBER($K34),Y$5&gt;=$K34,Y$5&lt;=$L34,WEEKDAY(Y$5,2)&lt;6,COUNTIF(휴일!$A$2:$A$2,Y$5)=0),1,""))</f>
        <v>2</v>
      </c>
      <c r="Z34" s="33" t="str">
        <f aca="false">IF(AND(ISNUMBER($M34),Z$5&gt;=$M34,Z$5&lt;=IF($N34="",$L$1,$N34),WEEKDAY(Z$5,2)&lt;6,COUNTIF(휴일!$A$2:$A$2,Z$5)=0),2,IF(AND(ISNUMBER($K34),Z$5&gt;=$K34,Z$5&lt;=$L34,WEEKDAY(Z$5,2)&lt;6,COUNTIF(휴일!$A$2:$A$2,Z$5)=0),1,""))</f>
        <v/>
      </c>
      <c r="AA34" s="33" t="str">
        <f aca="false">IF(AND(ISNUMBER($M34),AA$5&gt;=$M34,AA$5&lt;=IF($N34="",$L$1,$N34),WEEKDAY(AA$5,2)&lt;6,COUNTIF(휴일!$A$2:$A$2,AA$5)=0),2,IF(AND(ISNUMBER($K34),AA$5&gt;=$K34,AA$5&lt;=$L34,WEEKDAY(AA$5,2)&lt;6,COUNTIF(휴일!$A$2:$A$2,AA$5)=0),1,""))</f>
        <v/>
      </c>
      <c r="AB34" s="33" t="str">
        <f aca="false">IF(AND(ISNUMBER($M34),AB$5&gt;=$M34,AB$5&lt;=IF($N34="",$L$1,$N34),WEEKDAY(AB$5,2)&lt;6,COUNTIF(휴일!$A$2:$A$2,AB$5)=0),2,IF(AND(ISNUMBER($K34),AB$5&gt;=$K34,AB$5&lt;=$L34,WEEKDAY(AB$5,2)&lt;6,COUNTIF(휴일!$A$2:$A$2,AB$5)=0),1,""))</f>
        <v/>
      </c>
      <c r="AC34" s="32" t="str">
        <f aca="false">IF(AND(ISNUMBER($M34),AC$5&gt;=$M34,AC$5&lt;=IF($N34="",$L$1,$N34),WEEKDAY(AC$5,2)&lt;6,COUNTIF(휴일!$A$2:$A$2,AC$5)=0),2,IF(AND(ISNUMBER($K34),AC$5&gt;=$K34,AC$5&lt;=$L34,WEEKDAY(AC$5,2)&lt;6,COUNTIF(휴일!$A$2:$A$2,AC$5)=0),1,""))</f>
        <v/>
      </c>
      <c r="AD34" s="32" t="str">
        <f aca="false">IF(AND(ISNUMBER($M34),AD$5&gt;=$M34,AD$5&lt;=IF($N34="",$L$1,$N34),WEEKDAY(AD$5,2)&lt;6,COUNTIF(휴일!$A$2:$A$2,AD$5)=0),2,IF(AND(ISNUMBER($K34),AD$5&gt;=$K34,AD$5&lt;=$L34,WEEKDAY(AD$5,2)&lt;6,COUNTIF(휴일!$A$2:$A$2,AD$5)=0),1,""))</f>
        <v/>
      </c>
      <c r="AE34" s="32" t="str">
        <f aca="false">IF(AND(ISNUMBER($M34),AE$5&gt;=$M34,AE$5&lt;=IF($N34="",$L$1,$N34),WEEKDAY(AE$5,2)&lt;6,COUNTIF(휴일!$A$2:$A$2,AE$5)=0),2,IF(AND(ISNUMBER($K34),AE$5&gt;=$K34,AE$5&lt;=$L34,WEEKDAY(AE$5,2)&lt;6,COUNTIF(휴일!$A$2:$A$2,AE$5)=0),1,""))</f>
        <v/>
      </c>
      <c r="AF34" s="25" t="s">
        <v>36</v>
      </c>
      <c r="AG34" s="26"/>
      <c r="AH34" s="26"/>
    </row>
    <row r="35" customFormat="false" ht="54" hidden="false" customHeight="true" outlineLevel="0" collapsed="false">
      <c r="A35" s="2"/>
      <c r="B35" s="14"/>
      <c r="C35" s="14"/>
      <c r="D35" s="16"/>
      <c r="E35" s="16"/>
      <c r="F35" s="27" t="s">
        <v>96</v>
      </c>
      <c r="G35" s="27"/>
      <c r="H35" s="27" t="s">
        <v>34</v>
      </c>
      <c r="I35" s="27" t="s">
        <v>33</v>
      </c>
      <c r="J35" s="27" t="s">
        <v>97</v>
      </c>
      <c r="K35" s="28" t="n">
        <v>46303</v>
      </c>
      <c r="L35" s="28" t="n">
        <v>46303</v>
      </c>
      <c r="M35" s="34" t="n">
        <v>46303</v>
      </c>
      <c r="N35" s="34" t="n">
        <v>46303</v>
      </c>
      <c r="O35" s="29" t="n">
        <f aca="false">IF(OR(K35="",L35=""),"",IF(L35&lt;K35,"날짜 확인",NETWORKDAYS(K35,L35,휴일!$A$2:$A$2)))</f>
        <v>1</v>
      </c>
      <c r="P35" s="29" t="n">
        <f aca="false">IF(OR(M35="",N35=""),"",IF(N35&lt;M35,"날짜 확인",NETWORKDAYS(M35,N35,휴일!$A$2:$A$2)))</f>
        <v>1</v>
      </c>
      <c r="Q35" s="29" t="n">
        <f aca="false">IF(O35="","",IF($L$1&lt;K35,0,NETWORKDAYS(K35,MIN($L$1,L35),휴일!$A$2:$A$2)))</f>
        <v>1</v>
      </c>
      <c r="R35" s="29" t="n">
        <f aca="false">IF(M35="","",IF($L$1&lt;M35,0,NETWORKDAYS(M35,IF(N35="",$L$1,MIN($L$1,N35)),휴일!$A$2:$A$2)))</f>
        <v>1</v>
      </c>
      <c r="S35" s="30" t="n">
        <f aca="false">IF(O35="","",IF(O35=0,0,Q35/O35))</f>
        <v>1</v>
      </c>
      <c r="T35" s="31" t="n">
        <f aca="false">IF(OR(AND(AG35&lt;&gt;"",OR(NOT(ISNUMBER(AG35)),AG35&lt;=0)),AND(AH35&lt;&gt;"",OR(NOT(ISNUMBER(AH35)),AH35&lt;0)),AND(ISNUMBER(AG35),ISNUMBER(AH35),AH35&gt;AG35)),"수량 확인",IF(AF35="완료",1,IF(AF35="미착수",0,IF(AND(ISNUMBER(AG35),ISNUMBER(AH35)),AH35/AG35,""))))</f>
        <v>1</v>
      </c>
      <c r="U35" s="30" t="n">
        <f aca="false">IF(T35="","",T35)</f>
        <v>1</v>
      </c>
      <c r="V35" s="30" t="n">
        <f aca="false">IF(OR(U35="",S35=""),"",U35-S35)</f>
        <v>0</v>
      </c>
      <c r="W35" s="32" t="str">
        <f aca="false">IF(AND(ISNUMBER($M35),W$5&gt;=$M35,W$5&lt;=IF($N35="",$L$1,$N35),WEEKDAY(W$5,2)&lt;6,COUNTIF(휴일!$A$2:$A$2,W$5)=0),2,IF(AND(ISNUMBER($K35),W$5&gt;=$K35,W$5&lt;=$L35,WEEKDAY(W$5,2)&lt;6,COUNTIF(휴일!$A$2:$A$2,W$5)=0),1,""))</f>
        <v/>
      </c>
      <c r="X35" s="32" t="str">
        <f aca="false">IF(AND(ISNUMBER($M35),X$5&gt;=$M35,X$5&lt;=IF($N35="",$L$1,$N35),WEEKDAY(X$5,2)&lt;6,COUNTIF(휴일!$A$2:$A$2,X$5)=0),2,IF(AND(ISNUMBER($K35),X$5&gt;=$K35,X$5&lt;=$L35,WEEKDAY(X$5,2)&lt;6,COUNTIF(휴일!$A$2:$A$2,X$5)=0),1,""))</f>
        <v/>
      </c>
      <c r="Y35" s="32" t="n">
        <f aca="false">IF(AND(ISNUMBER($M35),Y$5&gt;=$M35,Y$5&lt;=IF($N35="",$L$1,$N35),WEEKDAY(Y$5,2)&lt;6,COUNTIF(휴일!$A$2:$A$2,Y$5)=0),2,IF(AND(ISNUMBER($K35),Y$5&gt;=$K35,Y$5&lt;=$L35,WEEKDAY(Y$5,2)&lt;6,COUNTIF(휴일!$A$2:$A$2,Y$5)=0),1,""))</f>
        <v>2</v>
      </c>
      <c r="Z35" s="33" t="str">
        <f aca="false">IF(AND(ISNUMBER($M35),Z$5&gt;=$M35,Z$5&lt;=IF($N35="",$L$1,$N35),WEEKDAY(Z$5,2)&lt;6,COUNTIF(휴일!$A$2:$A$2,Z$5)=0),2,IF(AND(ISNUMBER($K35),Z$5&gt;=$K35,Z$5&lt;=$L35,WEEKDAY(Z$5,2)&lt;6,COUNTIF(휴일!$A$2:$A$2,Z$5)=0),1,""))</f>
        <v/>
      </c>
      <c r="AA35" s="33" t="str">
        <f aca="false">IF(AND(ISNUMBER($M35),AA$5&gt;=$M35,AA$5&lt;=IF($N35="",$L$1,$N35),WEEKDAY(AA$5,2)&lt;6,COUNTIF(휴일!$A$2:$A$2,AA$5)=0),2,IF(AND(ISNUMBER($K35),AA$5&gt;=$K35,AA$5&lt;=$L35,WEEKDAY(AA$5,2)&lt;6,COUNTIF(휴일!$A$2:$A$2,AA$5)=0),1,""))</f>
        <v/>
      </c>
      <c r="AB35" s="33" t="str">
        <f aca="false">IF(AND(ISNUMBER($M35),AB$5&gt;=$M35,AB$5&lt;=IF($N35="",$L$1,$N35),WEEKDAY(AB$5,2)&lt;6,COUNTIF(휴일!$A$2:$A$2,AB$5)=0),2,IF(AND(ISNUMBER($K35),AB$5&gt;=$K35,AB$5&lt;=$L35,WEEKDAY(AB$5,2)&lt;6,COUNTIF(휴일!$A$2:$A$2,AB$5)=0),1,""))</f>
        <v/>
      </c>
      <c r="AC35" s="32" t="str">
        <f aca="false">IF(AND(ISNUMBER($M35),AC$5&gt;=$M35,AC$5&lt;=IF($N35="",$L$1,$N35),WEEKDAY(AC$5,2)&lt;6,COUNTIF(휴일!$A$2:$A$2,AC$5)=0),2,IF(AND(ISNUMBER($K35),AC$5&gt;=$K35,AC$5&lt;=$L35,WEEKDAY(AC$5,2)&lt;6,COUNTIF(휴일!$A$2:$A$2,AC$5)=0),1,""))</f>
        <v/>
      </c>
      <c r="AD35" s="32" t="str">
        <f aca="false">IF(AND(ISNUMBER($M35),AD$5&gt;=$M35,AD$5&lt;=IF($N35="",$L$1,$N35),WEEKDAY(AD$5,2)&lt;6,COUNTIF(휴일!$A$2:$A$2,AD$5)=0),2,IF(AND(ISNUMBER($K35),AD$5&gt;=$K35,AD$5&lt;=$L35,WEEKDAY(AD$5,2)&lt;6,COUNTIF(휴일!$A$2:$A$2,AD$5)=0),1,""))</f>
        <v/>
      </c>
      <c r="AE35" s="32" t="str">
        <f aca="false">IF(AND(ISNUMBER($M35),AE$5&gt;=$M35,AE$5&lt;=IF($N35="",$L$1,$N35),WEEKDAY(AE$5,2)&lt;6,COUNTIF(휴일!$A$2:$A$2,AE$5)=0),2,IF(AND(ISNUMBER($K35),AE$5&gt;=$K35,AE$5&lt;=$L35,WEEKDAY(AE$5,2)&lt;6,COUNTIF(휴일!$A$2:$A$2,AE$5)=0),1,""))</f>
        <v/>
      </c>
      <c r="AF35" s="25" t="s">
        <v>36</v>
      </c>
      <c r="AG35" s="26"/>
      <c r="AH35" s="26"/>
    </row>
    <row r="36" customFormat="false" ht="54" hidden="false" customHeight="true" outlineLevel="0" collapsed="false">
      <c r="A36" s="2"/>
      <c r="B36" s="14"/>
      <c r="C36" s="14"/>
      <c r="D36" s="16"/>
      <c r="E36" s="16"/>
      <c r="F36" s="27" t="s">
        <v>98</v>
      </c>
      <c r="G36" s="27"/>
      <c r="H36" s="27" t="s">
        <v>34</v>
      </c>
      <c r="I36" s="27" t="s">
        <v>33</v>
      </c>
      <c r="J36" s="27" t="s">
        <v>99</v>
      </c>
      <c r="K36" s="28" t="n">
        <v>46303</v>
      </c>
      <c r="L36" s="28" t="n">
        <v>46303</v>
      </c>
      <c r="M36" s="34" t="n">
        <v>46303</v>
      </c>
      <c r="N36" s="34" t="n">
        <v>46303</v>
      </c>
      <c r="O36" s="29" t="n">
        <f aca="false">IF(OR(K36="",L36=""),"",IF(L36&lt;K36,"날짜 확인",NETWORKDAYS(K36,L36,휴일!$A$2:$A$2)))</f>
        <v>1</v>
      </c>
      <c r="P36" s="29" t="n">
        <f aca="false">IF(OR(M36="",N36=""),"",IF(N36&lt;M36,"날짜 확인",NETWORKDAYS(M36,N36,휴일!$A$2:$A$2)))</f>
        <v>1</v>
      </c>
      <c r="Q36" s="29" t="n">
        <f aca="false">IF(O36="","",IF($L$1&lt;K36,0,NETWORKDAYS(K36,MIN($L$1,L36),휴일!$A$2:$A$2)))</f>
        <v>1</v>
      </c>
      <c r="R36" s="29" t="n">
        <f aca="false">IF(M36="","",IF($L$1&lt;M36,0,NETWORKDAYS(M36,IF(N36="",$L$1,MIN($L$1,N36)),휴일!$A$2:$A$2)))</f>
        <v>1</v>
      </c>
      <c r="S36" s="30" t="n">
        <f aca="false">IF(O36="","",IF(O36=0,0,Q36/O36))</f>
        <v>1</v>
      </c>
      <c r="T36" s="31" t="n">
        <f aca="false">IF(OR(AND(AG36&lt;&gt;"",OR(NOT(ISNUMBER(AG36)),AG36&lt;=0)),AND(AH36&lt;&gt;"",OR(NOT(ISNUMBER(AH36)),AH36&lt;0)),AND(ISNUMBER(AG36),ISNUMBER(AH36),AH36&gt;AG36)),"수량 확인",IF(AF36="완료",1,IF(AF36="미착수",0,IF(AND(ISNUMBER(AG36),ISNUMBER(AH36)),AH36/AG36,""))))</f>
        <v>1</v>
      </c>
      <c r="U36" s="30" t="n">
        <f aca="false">IF(T36="","",T36)</f>
        <v>1</v>
      </c>
      <c r="V36" s="30" t="n">
        <f aca="false">IF(OR(U36="",S36=""),"",U36-S36)</f>
        <v>0</v>
      </c>
      <c r="W36" s="32" t="str">
        <f aca="false">IF(AND(ISNUMBER($M36),W$5&gt;=$M36,W$5&lt;=IF($N36="",$L$1,$N36),WEEKDAY(W$5,2)&lt;6,COUNTIF(휴일!$A$2:$A$2,W$5)=0),2,IF(AND(ISNUMBER($K36),W$5&gt;=$K36,W$5&lt;=$L36,WEEKDAY(W$5,2)&lt;6,COUNTIF(휴일!$A$2:$A$2,W$5)=0),1,""))</f>
        <v/>
      </c>
      <c r="X36" s="32" t="str">
        <f aca="false">IF(AND(ISNUMBER($M36),X$5&gt;=$M36,X$5&lt;=IF($N36="",$L$1,$N36),WEEKDAY(X$5,2)&lt;6,COUNTIF(휴일!$A$2:$A$2,X$5)=0),2,IF(AND(ISNUMBER($K36),X$5&gt;=$K36,X$5&lt;=$L36,WEEKDAY(X$5,2)&lt;6,COUNTIF(휴일!$A$2:$A$2,X$5)=0),1,""))</f>
        <v/>
      </c>
      <c r="Y36" s="32" t="n">
        <f aca="false">IF(AND(ISNUMBER($M36),Y$5&gt;=$M36,Y$5&lt;=IF($N36="",$L$1,$N36),WEEKDAY(Y$5,2)&lt;6,COUNTIF(휴일!$A$2:$A$2,Y$5)=0),2,IF(AND(ISNUMBER($K36),Y$5&gt;=$K36,Y$5&lt;=$L36,WEEKDAY(Y$5,2)&lt;6,COUNTIF(휴일!$A$2:$A$2,Y$5)=0),1,""))</f>
        <v>2</v>
      </c>
      <c r="Z36" s="33" t="str">
        <f aca="false">IF(AND(ISNUMBER($M36),Z$5&gt;=$M36,Z$5&lt;=IF($N36="",$L$1,$N36),WEEKDAY(Z$5,2)&lt;6,COUNTIF(휴일!$A$2:$A$2,Z$5)=0),2,IF(AND(ISNUMBER($K36),Z$5&gt;=$K36,Z$5&lt;=$L36,WEEKDAY(Z$5,2)&lt;6,COUNTIF(휴일!$A$2:$A$2,Z$5)=0),1,""))</f>
        <v/>
      </c>
      <c r="AA36" s="33" t="str">
        <f aca="false">IF(AND(ISNUMBER($M36),AA$5&gt;=$M36,AA$5&lt;=IF($N36="",$L$1,$N36),WEEKDAY(AA$5,2)&lt;6,COUNTIF(휴일!$A$2:$A$2,AA$5)=0),2,IF(AND(ISNUMBER($K36),AA$5&gt;=$K36,AA$5&lt;=$L36,WEEKDAY(AA$5,2)&lt;6,COUNTIF(휴일!$A$2:$A$2,AA$5)=0),1,""))</f>
        <v/>
      </c>
      <c r="AB36" s="33" t="str">
        <f aca="false">IF(AND(ISNUMBER($M36),AB$5&gt;=$M36,AB$5&lt;=IF($N36="",$L$1,$N36),WEEKDAY(AB$5,2)&lt;6,COUNTIF(휴일!$A$2:$A$2,AB$5)=0),2,IF(AND(ISNUMBER($K36),AB$5&gt;=$K36,AB$5&lt;=$L36,WEEKDAY(AB$5,2)&lt;6,COUNTIF(휴일!$A$2:$A$2,AB$5)=0),1,""))</f>
        <v/>
      </c>
      <c r="AC36" s="32" t="str">
        <f aca="false">IF(AND(ISNUMBER($M36),AC$5&gt;=$M36,AC$5&lt;=IF($N36="",$L$1,$N36),WEEKDAY(AC$5,2)&lt;6,COUNTIF(휴일!$A$2:$A$2,AC$5)=0),2,IF(AND(ISNUMBER($K36),AC$5&gt;=$K36,AC$5&lt;=$L36,WEEKDAY(AC$5,2)&lt;6,COUNTIF(휴일!$A$2:$A$2,AC$5)=0),1,""))</f>
        <v/>
      </c>
      <c r="AD36" s="32" t="str">
        <f aca="false">IF(AND(ISNUMBER($M36),AD$5&gt;=$M36,AD$5&lt;=IF($N36="",$L$1,$N36),WEEKDAY(AD$5,2)&lt;6,COUNTIF(휴일!$A$2:$A$2,AD$5)=0),2,IF(AND(ISNUMBER($K36),AD$5&gt;=$K36,AD$5&lt;=$L36,WEEKDAY(AD$5,2)&lt;6,COUNTIF(휴일!$A$2:$A$2,AD$5)=0),1,""))</f>
        <v/>
      </c>
      <c r="AE36" s="32" t="str">
        <f aca="false">IF(AND(ISNUMBER($M36),AE$5&gt;=$M36,AE$5&lt;=IF($N36="",$L$1,$N36),WEEKDAY(AE$5,2)&lt;6,COUNTIF(휴일!$A$2:$A$2,AE$5)=0),2,IF(AND(ISNUMBER($K36),AE$5&gt;=$K36,AE$5&lt;=$L36,WEEKDAY(AE$5,2)&lt;6,COUNTIF(휴일!$A$2:$A$2,AE$5)=0),1,""))</f>
        <v/>
      </c>
      <c r="AF36" s="25" t="s">
        <v>36</v>
      </c>
      <c r="AG36" s="26"/>
      <c r="AH36" s="26"/>
    </row>
    <row r="37" customFormat="false" ht="54" hidden="false" customHeight="true" outlineLevel="0" collapsed="false">
      <c r="A37" s="2"/>
      <c r="B37" s="14"/>
      <c r="C37" s="14"/>
      <c r="D37" s="16"/>
      <c r="E37" s="16"/>
      <c r="F37" s="27" t="s">
        <v>100</v>
      </c>
      <c r="G37" s="27"/>
      <c r="H37" s="27" t="s">
        <v>33</v>
      </c>
      <c r="I37" s="27" t="s">
        <v>34</v>
      </c>
      <c r="J37" s="27" t="s">
        <v>101</v>
      </c>
      <c r="K37" s="28" t="n">
        <v>46303</v>
      </c>
      <c r="L37" s="28" t="n">
        <v>46303</v>
      </c>
      <c r="M37" s="34" t="n">
        <v>46303</v>
      </c>
      <c r="N37" s="34" t="n">
        <v>46307</v>
      </c>
      <c r="O37" s="29" t="n">
        <f aca="false">IF(OR(K37="",L37=""),"",IF(L37&lt;K37,"날짜 확인",NETWORKDAYS(K37,L37,휴일!$A$2:$A$2)))</f>
        <v>1</v>
      </c>
      <c r="P37" s="29" t="n">
        <f aca="false">IF(OR(M37="",N37=""),"",IF(N37&lt;M37,"날짜 확인",NETWORKDAYS(M37,N37,휴일!$A$2:$A$2)))</f>
        <v>2</v>
      </c>
      <c r="Q37" s="29" t="n">
        <f aca="false">IF(O37="","",IF($L$1&lt;K37,0,NETWORKDAYS(K37,MIN($L$1,L37),휴일!$A$2:$A$2)))</f>
        <v>1</v>
      </c>
      <c r="R37" s="29" t="n">
        <f aca="false">IF(M37="","",IF($L$1&lt;M37,0,NETWORKDAYS(M37,IF(N37="",$L$1,MIN($L$1,N37)),휴일!$A$2:$A$2)))</f>
        <v>2</v>
      </c>
      <c r="S37" s="30" t="n">
        <f aca="false">IF(O37="","",IF(O37=0,0,Q37/O37))</f>
        <v>1</v>
      </c>
      <c r="T37" s="31" t="n">
        <f aca="false">IF(OR(AND(AG37&lt;&gt;"",OR(NOT(ISNUMBER(AG37)),AG37&lt;=0)),AND(AH37&lt;&gt;"",OR(NOT(ISNUMBER(AH37)),AH37&lt;0)),AND(ISNUMBER(AG37),ISNUMBER(AH37),AH37&gt;AG37)),"수량 확인",IF(AF37="완료",1,IF(AF37="미착수",0,IF(AND(ISNUMBER(AG37),ISNUMBER(AH37)),AH37/AG37,""))))</f>
        <v>1</v>
      </c>
      <c r="U37" s="30" t="n">
        <f aca="false">IF(T37="","",T37)</f>
        <v>1</v>
      </c>
      <c r="V37" s="30" t="n">
        <f aca="false">IF(OR(U37="",S37=""),"",U37-S37)</f>
        <v>0</v>
      </c>
      <c r="W37" s="32" t="str">
        <f aca="false">IF(AND(ISNUMBER($M37),W$5&gt;=$M37,W$5&lt;=IF($N37="",$L$1,$N37),WEEKDAY(W$5,2)&lt;6,COUNTIF(휴일!$A$2:$A$2,W$5)=0),2,IF(AND(ISNUMBER($K37),W$5&gt;=$K37,W$5&lt;=$L37,WEEKDAY(W$5,2)&lt;6,COUNTIF(휴일!$A$2:$A$2,W$5)=0),1,""))</f>
        <v/>
      </c>
      <c r="X37" s="32" t="str">
        <f aca="false">IF(AND(ISNUMBER($M37),X$5&gt;=$M37,X$5&lt;=IF($N37="",$L$1,$N37),WEEKDAY(X$5,2)&lt;6,COUNTIF(휴일!$A$2:$A$2,X$5)=0),2,IF(AND(ISNUMBER($K37),X$5&gt;=$K37,X$5&lt;=$L37,WEEKDAY(X$5,2)&lt;6,COUNTIF(휴일!$A$2:$A$2,X$5)=0),1,""))</f>
        <v/>
      </c>
      <c r="Y37" s="32" t="n">
        <f aca="false">IF(AND(ISNUMBER($M37),Y$5&gt;=$M37,Y$5&lt;=IF($N37="",$L$1,$N37),WEEKDAY(Y$5,2)&lt;6,COUNTIF(휴일!$A$2:$A$2,Y$5)=0),2,IF(AND(ISNUMBER($K37),Y$5&gt;=$K37,Y$5&lt;=$L37,WEEKDAY(Y$5,2)&lt;6,COUNTIF(휴일!$A$2:$A$2,Y$5)=0),1,""))</f>
        <v>2</v>
      </c>
      <c r="Z37" s="33" t="str">
        <f aca="false">IF(AND(ISNUMBER($M37),Z$5&gt;=$M37,Z$5&lt;=IF($N37="",$L$1,$N37),WEEKDAY(Z$5,2)&lt;6,COUNTIF(휴일!$A$2:$A$2,Z$5)=0),2,IF(AND(ISNUMBER($K37),Z$5&gt;=$K37,Z$5&lt;=$L37,WEEKDAY(Z$5,2)&lt;6,COUNTIF(휴일!$A$2:$A$2,Z$5)=0),1,""))</f>
        <v/>
      </c>
      <c r="AA37" s="33" t="str">
        <f aca="false">IF(AND(ISNUMBER($M37),AA$5&gt;=$M37,AA$5&lt;=IF($N37="",$L$1,$N37),WEEKDAY(AA$5,2)&lt;6,COUNTIF(휴일!$A$2:$A$2,AA$5)=0),2,IF(AND(ISNUMBER($K37),AA$5&gt;=$K37,AA$5&lt;=$L37,WEEKDAY(AA$5,2)&lt;6,COUNTIF(휴일!$A$2:$A$2,AA$5)=0),1,""))</f>
        <v/>
      </c>
      <c r="AB37" s="33" t="str">
        <f aca="false">IF(AND(ISNUMBER($M37),AB$5&gt;=$M37,AB$5&lt;=IF($N37="",$L$1,$N37),WEEKDAY(AB$5,2)&lt;6,COUNTIF(휴일!$A$2:$A$2,AB$5)=0),2,IF(AND(ISNUMBER($K37),AB$5&gt;=$K37,AB$5&lt;=$L37,WEEKDAY(AB$5,2)&lt;6,COUNTIF(휴일!$A$2:$A$2,AB$5)=0),1,""))</f>
        <v/>
      </c>
      <c r="AC37" s="32" t="n">
        <f aca="false">IF(AND(ISNUMBER($M37),AC$5&gt;=$M37,AC$5&lt;=IF($N37="",$L$1,$N37),WEEKDAY(AC$5,2)&lt;6,COUNTIF(휴일!$A$2:$A$2,AC$5)=0),2,IF(AND(ISNUMBER($K37),AC$5&gt;=$K37,AC$5&lt;=$L37,WEEKDAY(AC$5,2)&lt;6,COUNTIF(휴일!$A$2:$A$2,AC$5)=0),1,""))</f>
        <v>2</v>
      </c>
      <c r="AD37" s="32" t="str">
        <f aca="false">IF(AND(ISNUMBER($M37),AD$5&gt;=$M37,AD$5&lt;=IF($N37="",$L$1,$N37),WEEKDAY(AD$5,2)&lt;6,COUNTIF(휴일!$A$2:$A$2,AD$5)=0),2,IF(AND(ISNUMBER($K37),AD$5&gt;=$K37,AD$5&lt;=$L37,WEEKDAY(AD$5,2)&lt;6,COUNTIF(휴일!$A$2:$A$2,AD$5)=0),1,""))</f>
        <v/>
      </c>
      <c r="AE37" s="32" t="str">
        <f aca="false">IF(AND(ISNUMBER($M37),AE$5&gt;=$M37,AE$5&lt;=IF($N37="",$L$1,$N37),WEEKDAY(AE$5,2)&lt;6,COUNTIF(휴일!$A$2:$A$2,AE$5)=0),2,IF(AND(ISNUMBER($K37),AE$5&gt;=$K37,AE$5&lt;=$L37,WEEKDAY(AE$5,2)&lt;6,COUNTIF(휴일!$A$2:$A$2,AE$5)=0),1,""))</f>
        <v/>
      </c>
      <c r="AF37" s="25" t="s">
        <v>36</v>
      </c>
      <c r="AG37" s="26"/>
      <c r="AH37" s="26"/>
    </row>
    <row r="38" customFormat="false" ht="54" hidden="false" customHeight="true" outlineLevel="0" collapsed="false">
      <c r="A38" s="2"/>
      <c r="B38" s="14"/>
      <c r="C38" s="14"/>
      <c r="D38" s="16"/>
      <c r="E38" s="16"/>
      <c r="F38" s="27" t="s">
        <v>102</v>
      </c>
      <c r="G38" s="27"/>
      <c r="H38" s="27" t="s">
        <v>33</v>
      </c>
      <c r="I38" s="27" t="s">
        <v>34</v>
      </c>
      <c r="J38" s="27" t="s">
        <v>103</v>
      </c>
      <c r="K38" s="28" t="n">
        <v>46303</v>
      </c>
      <c r="L38" s="28" t="n">
        <v>46303</v>
      </c>
      <c r="M38" s="34" t="n">
        <v>46303</v>
      </c>
      <c r="N38" s="34" t="n">
        <v>46303</v>
      </c>
      <c r="O38" s="29" t="n">
        <f aca="false">IF(OR(K38="",L38=""),"",IF(L38&lt;K38,"날짜 확인",NETWORKDAYS(K38,L38,휴일!$A$2:$A$2)))</f>
        <v>1</v>
      </c>
      <c r="P38" s="29" t="n">
        <f aca="false">IF(OR(M38="",N38=""),"",IF(N38&lt;M38,"날짜 확인",NETWORKDAYS(M38,N38,휴일!$A$2:$A$2)))</f>
        <v>1</v>
      </c>
      <c r="Q38" s="29" t="n">
        <f aca="false">IF(O38="","",IF($L$1&lt;K38,0,NETWORKDAYS(K38,MIN($L$1,L38),휴일!$A$2:$A$2)))</f>
        <v>1</v>
      </c>
      <c r="R38" s="29" t="n">
        <f aca="false">IF(M38="","",IF($L$1&lt;M38,0,NETWORKDAYS(M38,IF(N38="",$L$1,MIN($L$1,N38)),휴일!$A$2:$A$2)))</f>
        <v>1</v>
      </c>
      <c r="S38" s="30" t="n">
        <f aca="false">IF(O38="","",IF(O38=0,0,Q38/O38))</f>
        <v>1</v>
      </c>
      <c r="T38" s="31" t="n">
        <f aca="false">IF(OR(AND(AG38&lt;&gt;"",OR(NOT(ISNUMBER(AG38)),AG38&lt;=0)),AND(AH38&lt;&gt;"",OR(NOT(ISNUMBER(AH38)),AH38&lt;0)),AND(ISNUMBER(AG38),ISNUMBER(AH38),AH38&gt;AG38)),"수량 확인",IF(AF38="완료",1,IF(AF38="미착수",0,IF(AND(ISNUMBER(AG38),ISNUMBER(AH38)),AH38/AG38,""))))</f>
        <v>1</v>
      </c>
      <c r="U38" s="30" t="n">
        <f aca="false">IF(T38="","",T38)</f>
        <v>1</v>
      </c>
      <c r="V38" s="30" t="n">
        <f aca="false">IF(OR(U38="",S38=""),"",U38-S38)</f>
        <v>0</v>
      </c>
      <c r="W38" s="32" t="str">
        <f aca="false">IF(AND(ISNUMBER($M38),W$5&gt;=$M38,W$5&lt;=IF($N38="",$L$1,$N38),WEEKDAY(W$5,2)&lt;6,COUNTIF(휴일!$A$2:$A$2,W$5)=0),2,IF(AND(ISNUMBER($K38),W$5&gt;=$K38,W$5&lt;=$L38,WEEKDAY(W$5,2)&lt;6,COUNTIF(휴일!$A$2:$A$2,W$5)=0),1,""))</f>
        <v/>
      </c>
      <c r="X38" s="32" t="str">
        <f aca="false">IF(AND(ISNUMBER($M38),X$5&gt;=$M38,X$5&lt;=IF($N38="",$L$1,$N38),WEEKDAY(X$5,2)&lt;6,COUNTIF(휴일!$A$2:$A$2,X$5)=0),2,IF(AND(ISNUMBER($K38),X$5&gt;=$K38,X$5&lt;=$L38,WEEKDAY(X$5,2)&lt;6,COUNTIF(휴일!$A$2:$A$2,X$5)=0),1,""))</f>
        <v/>
      </c>
      <c r="Y38" s="32" t="n">
        <f aca="false">IF(AND(ISNUMBER($M38),Y$5&gt;=$M38,Y$5&lt;=IF($N38="",$L$1,$N38),WEEKDAY(Y$5,2)&lt;6,COUNTIF(휴일!$A$2:$A$2,Y$5)=0),2,IF(AND(ISNUMBER($K38),Y$5&gt;=$K38,Y$5&lt;=$L38,WEEKDAY(Y$5,2)&lt;6,COUNTIF(휴일!$A$2:$A$2,Y$5)=0),1,""))</f>
        <v>2</v>
      </c>
      <c r="Z38" s="33" t="str">
        <f aca="false">IF(AND(ISNUMBER($M38),Z$5&gt;=$M38,Z$5&lt;=IF($N38="",$L$1,$N38),WEEKDAY(Z$5,2)&lt;6,COUNTIF(휴일!$A$2:$A$2,Z$5)=0),2,IF(AND(ISNUMBER($K38),Z$5&gt;=$K38,Z$5&lt;=$L38,WEEKDAY(Z$5,2)&lt;6,COUNTIF(휴일!$A$2:$A$2,Z$5)=0),1,""))</f>
        <v/>
      </c>
      <c r="AA38" s="33" t="str">
        <f aca="false">IF(AND(ISNUMBER($M38),AA$5&gt;=$M38,AA$5&lt;=IF($N38="",$L$1,$N38),WEEKDAY(AA$5,2)&lt;6,COUNTIF(휴일!$A$2:$A$2,AA$5)=0),2,IF(AND(ISNUMBER($K38),AA$5&gt;=$K38,AA$5&lt;=$L38,WEEKDAY(AA$5,2)&lt;6,COUNTIF(휴일!$A$2:$A$2,AA$5)=0),1,""))</f>
        <v/>
      </c>
      <c r="AB38" s="33" t="str">
        <f aca="false">IF(AND(ISNUMBER($M38),AB$5&gt;=$M38,AB$5&lt;=IF($N38="",$L$1,$N38),WEEKDAY(AB$5,2)&lt;6,COUNTIF(휴일!$A$2:$A$2,AB$5)=0),2,IF(AND(ISNUMBER($K38),AB$5&gt;=$K38,AB$5&lt;=$L38,WEEKDAY(AB$5,2)&lt;6,COUNTIF(휴일!$A$2:$A$2,AB$5)=0),1,""))</f>
        <v/>
      </c>
      <c r="AC38" s="32" t="str">
        <f aca="false">IF(AND(ISNUMBER($M38),AC$5&gt;=$M38,AC$5&lt;=IF($N38="",$L$1,$N38),WEEKDAY(AC$5,2)&lt;6,COUNTIF(휴일!$A$2:$A$2,AC$5)=0),2,IF(AND(ISNUMBER($K38),AC$5&gt;=$K38,AC$5&lt;=$L38,WEEKDAY(AC$5,2)&lt;6,COUNTIF(휴일!$A$2:$A$2,AC$5)=0),1,""))</f>
        <v/>
      </c>
      <c r="AD38" s="32" t="str">
        <f aca="false">IF(AND(ISNUMBER($M38),AD$5&gt;=$M38,AD$5&lt;=IF($N38="",$L$1,$N38),WEEKDAY(AD$5,2)&lt;6,COUNTIF(휴일!$A$2:$A$2,AD$5)=0),2,IF(AND(ISNUMBER($K38),AD$5&gt;=$K38,AD$5&lt;=$L38,WEEKDAY(AD$5,2)&lt;6,COUNTIF(휴일!$A$2:$A$2,AD$5)=0),1,""))</f>
        <v/>
      </c>
      <c r="AE38" s="32" t="str">
        <f aca="false">IF(AND(ISNUMBER($M38),AE$5&gt;=$M38,AE$5&lt;=IF($N38="",$L$1,$N38),WEEKDAY(AE$5,2)&lt;6,COUNTIF(휴일!$A$2:$A$2,AE$5)=0),2,IF(AND(ISNUMBER($K38),AE$5&gt;=$K38,AE$5&lt;=$L38,WEEKDAY(AE$5,2)&lt;6,COUNTIF(휴일!$A$2:$A$2,AE$5)=0),1,""))</f>
        <v/>
      </c>
      <c r="AF38" s="25" t="s">
        <v>36</v>
      </c>
      <c r="AG38" s="26"/>
      <c r="AH38" s="26"/>
    </row>
    <row r="39" customFormat="false" ht="54" hidden="false" customHeight="true" outlineLevel="0" collapsed="false">
      <c r="A39" s="2"/>
      <c r="B39" s="14"/>
      <c r="C39" s="14"/>
      <c r="D39" s="16"/>
      <c r="E39" s="16"/>
      <c r="F39" s="27" t="s">
        <v>104</v>
      </c>
      <c r="G39" s="27"/>
      <c r="H39" s="27" t="s">
        <v>34</v>
      </c>
      <c r="I39" s="27" t="s">
        <v>33</v>
      </c>
      <c r="J39" s="27" t="s">
        <v>105</v>
      </c>
      <c r="K39" s="28" t="n">
        <v>46303</v>
      </c>
      <c r="L39" s="28" t="n">
        <v>46303</v>
      </c>
      <c r="M39" s="34" t="n">
        <v>46303</v>
      </c>
      <c r="N39" s="34" t="n">
        <v>46303</v>
      </c>
      <c r="O39" s="29" t="n">
        <f aca="false">IF(OR(K39="",L39=""),"",IF(L39&lt;K39,"날짜 확인",NETWORKDAYS(K39,L39,휴일!$A$2:$A$2)))</f>
        <v>1</v>
      </c>
      <c r="P39" s="29" t="n">
        <f aca="false">IF(OR(M39="",N39=""),"",IF(N39&lt;M39,"날짜 확인",NETWORKDAYS(M39,N39,휴일!$A$2:$A$2)))</f>
        <v>1</v>
      </c>
      <c r="Q39" s="29" t="n">
        <f aca="false">IF(O39="","",IF($L$1&lt;K39,0,NETWORKDAYS(K39,MIN($L$1,L39),휴일!$A$2:$A$2)))</f>
        <v>1</v>
      </c>
      <c r="R39" s="29" t="n">
        <f aca="false">IF(M39="","",IF($L$1&lt;M39,0,NETWORKDAYS(M39,IF(N39="",$L$1,MIN($L$1,N39)),휴일!$A$2:$A$2)))</f>
        <v>1</v>
      </c>
      <c r="S39" s="30" t="n">
        <f aca="false">IF(O39="","",IF(O39=0,0,Q39/O39))</f>
        <v>1</v>
      </c>
      <c r="T39" s="31" t="n">
        <f aca="false">IF(OR(AND(AG39&lt;&gt;"",OR(NOT(ISNUMBER(AG39)),AG39&lt;=0)),AND(AH39&lt;&gt;"",OR(NOT(ISNUMBER(AH39)),AH39&lt;0)),AND(ISNUMBER(AG39),ISNUMBER(AH39),AH39&gt;AG39)),"수량 확인",IF(AF39="완료",1,IF(AF39="미착수",0,IF(AND(ISNUMBER(AG39),ISNUMBER(AH39)),AH39/AG39,""))))</f>
        <v>1</v>
      </c>
      <c r="U39" s="30" t="n">
        <f aca="false">IF(T39="","",T39)</f>
        <v>1</v>
      </c>
      <c r="V39" s="30" t="n">
        <f aca="false">IF(OR(U39="",S39=""),"",U39-S39)</f>
        <v>0</v>
      </c>
      <c r="W39" s="32" t="str">
        <f aca="false">IF(AND(ISNUMBER($M39),W$5&gt;=$M39,W$5&lt;=IF($N39="",$L$1,$N39),WEEKDAY(W$5,2)&lt;6,COUNTIF(휴일!$A$2:$A$2,W$5)=0),2,IF(AND(ISNUMBER($K39),W$5&gt;=$K39,W$5&lt;=$L39,WEEKDAY(W$5,2)&lt;6,COUNTIF(휴일!$A$2:$A$2,W$5)=0),1,""))</f>
        <v/>
      </c>
      <c r="X39" s="32" t="str">
        <f aca="false">IF(AND(ISNUMBER($M39),X$5&gt;=$M39,X$5&lt;=IF($N39="",$L$1,$N39),WEEKDAY(X$5,2)&lt;6,COUNTIF(휴일!$A$2:$A$2,X$5)=0),2,IF(AND(ISNUMBER($K39),X$5&gt;=$K39,X$5&lt;=$L39,WEEKDAY(X$5,2)&lt;6,COUNTIF(휴일!$A$2:$A$2,X$5)=0),1,""))</f>
        <v/>
      </c>
      <c r="Y39" s="32" t="n">
        <f aca="false">IF(AND(ISNUMBER($M39),Y$5&gt;=$M39,Y$5&lt;=IF($N39="",$L$1,$N39),WEEKDAY(Y$5,2)&lt;6,COUNTIF(휴일!$A$2:$A$2,Y$5)=0),2,IF(AND(ISNUMBER($K39),Y$5&gt;=$K39,Y$5&lt;=$L39,WEEKDAY(Y$5,2)&lt;6,COUNTIF(휴일!$A$2:$A$2,Y$5)=0),1,""))</f>
        <v>2</v>
      </c>
      <c r="Z39" s="33" t="str">
        <f aca="false">IF(AND(ISNUMBER($M39),Z$5&gt;=$M39,Z$5&lt;=IF($N39="",$L$1,$N39),WEEKDAY(Z$5,2)&lt;6,COUNTIF(휴일!$A$2:$A$2,Z$5)=0),2,IF(AND(ISNUMBER($K39),Z$5&gt;=$K39,Z$5&lt;=$L39,WEEKDAY(Z$5,2)&lt;6,COUNTIF(휴일!$A$2:$A$2,Z$5)=0),1,""))</f>
        <v/>
      </c>
      <c r="AA39" s="33" t="str">
        <f aca="false">IF(AND(ISNUMBER($M39),AA$5&gt;=$M39,AA$5&lt;=IF($N39="",$L$1,$N39),WEEKDAY(AA$5,2)&lt;6,COUNTIF(휴일!$A$2:$A$2,AA$5)=0),2,IF(AND(ISNUMBER($K39),AA$5&gt;=$K39,AA$5&lt;=$L39,WEEKDAY(AA$5,2)&lt;6,COUNTIF(휴일!$A$2:$A$2,AA$5)=0),1,""))</f>
        <v/>
      </c>
      <c r="AB39" s="33" t="str">
        <f aca="false">IF(AND(ISNUMBER($M39),AB$5&gt;=$M39,AB$5&lt;=IF($N39="",$L$1,$N39),WEEKDAY(AB$5,2)&lt;6,COUNTIF(휴일!$A$2:$A$2,AB$5)=0),2,IF(AND(ISNUMBER($K39),AB$5&gt;=$K39,AB$5&lt;=$L39,WEEKDAY(AB$5,2)&lt;6,COUNTIF(휴일!$A$2:$A$2,AB$5)=0),1,""))</f>
        <v/>
      </c>
      <c r="AC39" s="32" t="str">
        <f aca="false">IF(AND(ISNUMBER($M39),AC$5&gt;=$M39,AC$5&lt;=IF($N39="",$L$1,$N39),WEEKDAY(AC$5,2)&lt;6,COUNTIF(휴일!$A$2:$A$2,AC$5)=0),2,IF(AND(ISNUMBER($K39),AC$5&gt;=$K39,AC$5&lt;=$L39,WEEKDAY(AC$5,2)&lt;6,COUNTIF(휴일!$A$2:$A$2,AC$5)=0),1,""))</f>
        <v/>
      </c>
      <c r="AD39" s="32" t="str">
        <f aca="false">IF(AND(ISNUMBER($M39),AD$5&gt;=$M39,AD$5&lt;=IF($N39="",$L$1,$N39),WEEKDAY(AD$5,2)&lt;6,COUNTIF(휴일!$A$2:$A$2,AD$5)=0),2,IF(AND(ISNUMBER($K39),AD$5&gt;=$K39,AD$5&lt;=$L39,WEEKDAY(AD$5,2)&lt;6,COUNTIF(휴일!$A$2:$A$2,AD$5)=0),1,""))</f>
        <v/>
      </c>
      <c r="AE39" s="32" t="str">
        <f aca="false">IF(AND(ISNUMBER($M39),AE$5&gt;=$M39,AE$5&lt;=IF($N39="",$L$1,$N39),WEEKDAY(AE$5,2)&lt;6,COUNTIF(휴일!$A$2:$A$2,AE$5)=0),2,IF(AND(ISNUMBER($K39),AE$5&gt;=$K39,AE$5&lt;=$L39,WEEKDAY(AE$5,2)&lt;6,COUNTIF(휴일!$A$2:$A$2,AE$5)=0),1,""))</f>
        <v/>
      </c>
      <c r="AF39" s="25" t="s">
        <v>36</v>
      </c>
      <c r="AG39" s="26"/>
      <c r="AH39" s="26"/>
    </row>
    <row r="40" customFormat="false" ht="54" hidden="false" customHeight="true" outlineLevel="0" collapsed="false">
      <c r="A40" s="2"/>
      <c r="B40" s="14" t="n">
        <v>4</v>
      </c>
      <c r="C40" s="15" t="n">
        <v>0.206611570247934</v>
      </c>
      <c r="D40" s="16" t="s">
        <v>106</v>
      </c>
      <c r="E40" s="16"/>
      <c r="F40" s="17" t="s">
        <v>107</v>
      </c>
      <c r="G40" s="17"/>
      <c r="H40" s="17" t="s">
        <v>33</v>
      </c>
      <c r="I40" s="17" t="s">
        <v>34</v>
      </c>
      <c r="J40" s="17" t="s">
        <v>108</v>
      </c>
      <c r="K40" s="18" t="n">
        <v>46307</v>
      </c>
      <c r="L40" s="18" t="n">
        <v>46307</v>
      </c>
      <c r="M40" s="19" t="n">
        <v>46303</v>
      </c>
      <c r="N40" s="19" t="n">
        <v>46303</v>
      </c>
      <c r="O40" s="20" t="n">
        <f aca="false">IF(OR(K40="",L40=""),"",IF(L40&lt;K40,"날짜 확인",NETWORKDAYS(K40,L40,휴일!$A$2:$A$2)))</f>
        <v>1</v>
      </c>
      <c r="P40" s="20" t="n">
        <f aca="false">IF(OR(M40="",N40=""),"",IF(N40&lt;M40,"날짜 확인",NETWORKDAYS(M40,N40,휴일!$A$2:$A$2)))</f>
        <v>1</v>
      </c>
      <c r="Q40" s="20" t="n">
        <f aca="false">IF(O40="","",IF($L$1&lt;K40,0,NETWORKDAYS(K40,MIN($L$1,L40),휴일!$A$2:$A$2)))</f>
        <v>1</v>
      </c>
      <c r="R40" s="20" t="n">
        <f aca="false">IF(M40="","",IF($L$1&lt;M40,0,NETWORKDAYS(M40,IF(N40="",$L$1,MIN($L$1,N40)),휴일!$A$2:$A$2)))</f>
        <v>1</v>
      </c>
      <c r="S40" s="21" t="n">
        <f aca="false">IF(O40="","",IF(O40=0,0,Q40/O40))</f>
        <v>1</v>
      </c>
      <c r="T40" s="22" t="n">
        <f aca="false">IF(OR(AND(AG40&lt;&gt;"",OR(NOT(ISNUMBER(AG40)),AG40&lt;=0)),AND(AH40&lt;&gt;"",OR(NOT(ISNUMBER(AH40)),AH40&lt;0)),AND(ISNUMBER(AG40),ISNUMBER(AH40),AH40&gt;AG40)),"수량 확인",IF(AF40="완료",1,IF(AF40="미착수",0,IF(AND(ISNUMBER(AG40),ISNUMBER(AH40)),AH40/AG40,""))))</f>
        <v>1</v>
      </c>
      <c r="U40" s="21" t="n">
        <f aca="false">IF(T40="","",T40)</f>
        <v>1</v>
      </c>
      <c r="V40" s="21" t="n">
        <f aca="false">IF(OR(U40="",S40=""),"",U40-S40)</f>
        <v>0</v>
      </c>
      <c r="W40" s="23" t="str">
        <f aca="false">IF(AND(ISNUMBER($M40),W$5&gt;=$M40,W$5&lt;=IF($N40="",$L$1,$N40),WEEKDAY(W$5,2)&lt;6,COUNTIF(휴일!$A$2:$A$2,W$5)=0),2,IF(AND(ISNUMBER($K40),W$5&gt;=$K40,W$5&lt;=$L40,WEEKDAY(W$5,2)&lt;6,COUNTIF(휴일!$A$2:$A$2,W$5)=0),1,""))</f>
        <v/>
      </c>
      <c r="X40" s="23" t="str">
        <f aca="false">IF(AND(ISNUMBER($M40),X$5&gt;=$M40,X$5&lt;=IF($N40="",$L$1,$N40),WEEKDAY(X$5,2)&lt;6,COUNTIF(휴일!$A$2:$A$2,X$5)=0),2,IF(AND(ISNUMBER($K40),X$5&gt;=$K40,X$5&lt;=$L40,WEEKDAY(X$5,2)&lt;6,COUNTIF(휴일!$A$2:$A$2,X$5)=0),1,""))</f>
        <v/>
      </c>
      <c r="Y40" s="23" t="n">
        <f aca="false">IF(AND(ISNUMBER($M40),Y$5&gt;=$M40,Y$5&lt;=IF($N40="",$L$1,$N40),WEEKDAY(Y$5,2)&lt;6,COUNTIF(휴일!$A$2:$A$2,Y$5)=0),2,IF(AND(ISNUMBER($K40),Y$5&gt;=$K40,Y$5&lt;=$L40,WEEKDAY(Y$5,2)&lt;6,COUNTIF(휴일!$A$2:$A$2,Y$5)=0),1,""))</f>
        <v>2</v>
      </c>
      <c r="Z40" s="24" t="str">
        <f aca="false">IF(AND(ISNUMBER($M40),Z$5&gt;=$M40,Z$5&lt;=IF($N40="",$L$1,$N40),WEEKDAY(Z$5,2)&lt;6,COUNTIF(휴일!$A$2:$A$2,Z$5)=0),2,IF(AND(ISNUMBER($K40),Z$5&gt;=$K40,Z$5&lt;=$L40,WEEKDAY(Z$5,2)&lt;6,COUNTIF(휴일!$A$2:$A$2,Z$5)=0),1,""))</f>
        <v/>
      </c>
      <c r="AA40" s="24" t="str">
        <f aca="false">IF(AND(ISNUMBER($M40),AA$5&gt;=$M40,AA$5&lt;=IF($N40="",$L$1,$N40),WEEKDAY(AA$5,2)&lt;6,COUNTIF(휴일!$A$2:$A$2,AA$5)=0),2,IF(AND(ISNUMBER($K40),AA$5&gt;=$K40,AA$5&lt;=$L40,WEEKDAY(AA$5,2)&lt;6,COUNTIF(휴일!$A$2:$A$2,AA$5)=0),1,""))</f>
        <v/>
      </c>
      <c r="AB40" s="24" t="str">
        <f aca="false">IF(AND(ISNUMBER($M40),AB$5&gt;=$M40,AB$5&lt;=IF($N40="",$L$1,$N40),WEEKDAY(AB$5,2)&lt;6,COUNTIF(휴일!$A$2:$A$2,AB$5)=0),2,IF(AND(ISNUMBER($K40),AB$5&gt;=$K40,AB$5&lt;=$L40,WEEKDAY(AB$5,2)&lt;6,COUNTIF(휴일!$A$2:$A$2,AB$5)=0),1,""))</f>
        <v/>
      </c>
      <c r="AC40" s="23" t="n">
        <f aca="false">IF(AND(ISNUMBER($M40),AC$5&gt;=$M40,AC$5&lt;=IF($N40="",$L$1,$N40),WEEKDAY(AC$5,2)&lt;6,COUNTIF(휴일!$A$2:$A$2,AC$5)=0),2,IF(AND(ISNUMBER($K40),AC$5&gt;=$K40,AC$5&lt;=$L40,WEEKDAY(AC$5,2)&lt;6,COUNTIF(휴일!$A$2:$A$2,AC$5)=0),1,""))</f>
        <v>1</v>
      </c>
      <c r="AD40" s="23" t="str">
        <f aca="false">IF(AND(ISNUMBER($M40),AD$5&gt;=$M40,AD$5&lt;=IF($N40="",$L$1,$N40),WEEKDAY(AD$5,2)&lt;6,COUNTIF(휴일!$A$2:$A$2,AD$5)=0),2,IF(AND(ISNUMBER($K40),AD$5&gt;=$K40,AD$5&lt;=$L40,WEEKDAY(AD$5,2)&lt;6,COUNTIF(휴일!$A$2:$A$2,AD$5)=0),1,""))</f>
        <v/>
      </c>
      <c r="AE40" s="23" t="str">
        <f aca="false">IF(AND(ISNUMBER($M40),AE$5&gt;=$M40,AE$5&lt;=IF($N40="",$L$1,$N40),WEEKDAY(AE$5,2)&lt;6,COUNTIF(휴일!$A$2:$A$2,AE$5)=0),2,IF(AND(ISNUMBER($K40),AE$5&gt;=$K40,AE$5&lt;=$L40,WEEKDAY(AE$5,2)&lt;6,COUNTIF(휴일!$A$2:$A$2,AE$5)=0),1,""))</f>
        <v/>
      </c>
      <c r="AF40" s="25" t="s">
        <v>36</v>
      </c>
      <c r="AG40" s="26"/>
      <c r="AH40" s="26"/>
    </row>
    <row r="41" customFormat="false" ht="54" hidden="false" customHeight="true" outlineLevel="0" collapsed="false">
      <c r="A41" s="2"/>
      <c r="B41" s="14"/>
      <c r="C41" s="14"/>
      <c r="D41" s="16"/>
      <c r="E41" s="16"/>
      <c r="F41" s="27" t="s">
        <v>109</v>
      </c>
      <c r="G41" s="27"/>
      <c r="H41" s="27" t="s">
        <v>33</v>
      </c>
      <c r="I41" s="27" t="s">
        <v>34</v>
      </c>
      <c r="J41" s="27" t="s">
        <v>110</v>
      </c>
      <c r="K41" s="28" t="n">
        <v>46307</v>
      </c>
      <c r="L41" s="28" t="n">
        <v>46307</v>
      </c>
      <c r="M41" s="34" t="n">
        <v>46303</v>
      </c>
      <c r="N41" s="34" t="n">
        <v>46307</v>
      </c>
      <c r="O41" s="29" t="n">
        <f aca="false">IF(OR(K41="",L41=""),"",IF(L41&lt;K41,"날짜 확인",NETWORKDAYS(K41,L41,휴일!$A$2:$A$2)))</f>
        <v>1</v>
      </c>
      <c r="P41" s="29" t="n">
        <f aca="false">IF(OR(M41="",N41=""),"",IF(N41&lt;M41,"날짜 확인",NETWORKDAYS(M41,N41,휴일!$A$2:$A$2)))</f>
        <v>2</v>
      </c>
      <c r="Q41" s="29" t="n">
        <f aca="false">IF(O41="","",IF($L$1&lt;K41,0,NETWORKDAYS(K41,MIN($L$1,L41),휴일!$A$2:$A$2)))</f>
        <v>1</v>
      </c>
      <c r="R41" s="29" t="n">
        <f aca="false">IF(M41="","",IF($L$1&lt;M41,0,NETWORKDAYS(M41,IF(N41="",$L$1,MIN($L$1,N41)),휴일!$A$2:$A$2)))</f>
        <v>2</v>
      </c>
      <c r="S41" s="30" t="n">
        <f aca="false">IF(O41="","",IF(O41=0,0,Q41/O41))</f>
        <v>1</v>
      </c>
      <c r="T41" s="31" t="n">
        <f aca="false">IF(OR(AND(AG41&lt;&gt;"",OR(NOT(ISNUMBER(AG41)),AG41&lt;=0)),AND(AH41&lt;&gt;"",OR(NOT(ISNUMBER(AH41)),AH41&lt;0)),AND(ISNUMBER(AG41),ISNUMBER(AH41),AH41&gt;AG41)),"수량 확인",IF(AF41="완료",1,IF(AF41="미착수",0,IF(AND(ISNUMBER(AG41),ISNUMBER(AH41)),AH41/AG41,""))))</f>
        <v>1</v>
      </c>
      <c r="U41" s="30" t="n">
        <f aca="false">IF(T41="","",T41)</f>
        <v>1</v>
      </c>
      <c r="V41" s="30" t="n">
        <f aca="false">IF(OR(U41="",S41=""),"",U41-S41)</f>
        <v>0</v>
      </c>
      <c r="W41" s="32" t="str">
        <f aca="false">IF(AND(ISNUMBER($M41),W$5&gt;=$M41,W$5&lt;=IF($N41="",$L$1,$N41),WEEKDAY(W$5,2)&lt;6,COUNTIF(휴일!$A$2:$A$2,W$5)=0),2,IF(AND(ISNUMBER($K41),W$5&gt;=$K41,W$5&lt;=$L41,WEEKDAY(W$5,2)&lt;6,COUNTIF(휴일!$A$2:$A$2,W$5)=0),1,""))</f>
        <v/>
      </c>
      <c r="X41" s="32" t="str">
        <f aca="false">IF(AND(ISNUMBER($M41),X$5&gt;=$M41,X$5&lt;=IF($N41="",$L$1,$N41),WEEKDAY(X$5,2)&lt;6,COUNTIF(휴일!$A$2:$A$2,X$5)=0),2,IF(AND(ISNUMBER($K41),X$5&gt;=$K41,X$5&lt;=$L41,WEEKDAY(X$5,2)&lt;6,COUNTIF(휴일!$A$2:$A$2,X$5)=0),1,""))</f>
        <v/>
      </c>
      <c r="Y41" s="32" t="n">
        <f aca="false">IF(AND(ISNUMBER($M41),Y$5&gt;=$M41,Y$5&lt;=IF($N41="",$L$1,$N41),WEEKDAY(Y$5,2)&lt;6,COUNTIF(휴일!$A$2:$A$2,Y$5)=0),2,IF(AND(ISNUMBER($K41),Y$5&gt;=$K41,Y$5&lt;=$L41,WEEKDAY(Y$5,2)&lt;6,COUNTIF(휴일!$A$2:$A$2,Y$5)=0),1,""))</f>
        <v>2</v>
      </c>
      <c r="Z41" s="33" t="str">
        <f aca="false">IF(AND(ISNUMBER($M41),Z$5&gt;=$M41,Z$5&lt;=IF($N41="",$L$1,$N41),WEEKDAY(Z$5,2)&lt;6,COUNTIF(휴일!$A$2:$A$2,Z$5)=0),2,IF(AND(ISNUMBER($K41),Z$5&gt;=$K41,Z$5&lt;=$L41,WEEKDAY(Z$5,2)&lt;6,COUNTIF(휴일!$A$2:$A$2,Z$5)=0),1,""))</f>
        <v/>
      </c>
      <c r="AA41" s="33" t="str">
        <f aca="false">IF(AND(ISNUMBER($M41),AA$5&gt;=$M41,AA$5&lt;=IF($N41="",$L$1,$N41),WEEKDAY(AA$5,2)&lt;6,COUNTIF(휴일!$A$2:$A$2,AA$5)=0),2,IF(AND(ISNUMBER($K41),AA$5&gt;=$K41,AA$5&lt;=$L41,WEEKDAY(AA$5,2)&lt;6,COUNTIF(휴일!$A$2:$A$2,AA$5)=0),1,""))</f>
        <v/>
      </c>
      <c r="AB41" s="33" t="str">
        <f aca="false">IF(AND(ISNUMBER($M41),AB$5&gt;=$M41,AB$5&lt;=IF($N41="",$L$1,$N41),WEEKDAY(AB$5,2)&lt;6,COUNTIF(휴일!$A$2:$A$2,AB$5)=0),2,IF(AND(ISNUMBER($K41),AB$5&gt;=$K41,AB$5&lt;=$L41,WEEKDAY(AB$5,2)&lt;6,COUNTIF(휴일!$A$2:$A$2,AB$5)=0),1,""))</f>
        <v/>
      </c>
      <c r="AC41" s="32" t="n">
        <f aca="false">IF(AND(ISNUMBER($M41),AC$5&gt;=$M41,AC$5&lt;=IF($N41="",$L$1,$N41),WEEKDAY(AC$5,2)&lt;6,COUNTIF(휴일!$A$2:$A$2,AC$5)=0),2,IF(AND(ISNUMBER($K41),AC$5&gt;=$K41,AC$5&lt;=$L41,WEEKDAY(AC$5,2)&lt;6,COUNTIF(휴일!$A$2:$A$2,AC$5)=0),1,""))</f>
        <v>2</v>
      </c>
      <c r="AD41" s="32" t="str">
        <f aca="false">IF(AND(ISNUMBER($M41),AD$5&gt;=$M41,AD$5&lt;=IF($N41="",$L$1,$N41),WEEKDAY(AD$5,2)&lt;6,COUNTIF(휴일!$A$2:$A$2,AD$5)=0),2,IF(AND(ISNUMBER($K41),AD$5&gt;=$K41,AD$5&lt;=$L41,WEEKDAY(AD$5,2)&lt;6,COUNTIF(휴일!$A$2:$A$2,AD$5)=0),1,""))</f>
        <v/>
      </c>
      <c r="AE41" s="32" t="str">
        <f aca="false">IF(AND(ISNUMBER($M41),AE$5&gt;=$M41,AE$5&lt;=IF($N41="",$L$1,$N41),WEEKDAY(AE$5,2)&lt;6,COUNTIF(휴일!$A$2:$A$2,AE$5)=0),2,IF(AND(ISNUMBER($K41),AE$5&gt;=$K41,AE$5&lt;=$L41,WEEKDAY(AE$5,2)&lt;6,COUNTIF(휴일!$A$2:$A$2,AE$5)=0),1,""))</f>
        <v/>
      </c>
      <c r="AF41" s="25" t="s">
        <v>36</v>
      </c>
      <c r="AG41" s="26"/>
      <c r="AH41" s="26"/>
    </row>
    <row r="42" customFormat="false" ht="54" hidden="false" customHeight="true" outlineLevel="0" collapsed="false">
      <c r="A42" s="2"/>
      <c r="B42" s="14"/>
      <c r="C42" s="14"/>
      <c r="D42" s="16"/>
      <c r="E42" s="16"/>
      <c r="F42" s="27" t="s">
        <v>111</v>
      </c>
      <c r="G42" s="27"/>
      <c r="H42" s="27" t="s">
        <v>33</v>
      </c>
      <c r="I42" s="27" t="s">
        <v>34</v>
      </c>
      <c r="J42" s="27" t="s">
        <v>112</v>
      </c>
      <c r="K42" s="28" t="n">
        <v>46307</v>
      </c>
      <c r="L42" s="28" t="n">
        <v>46307</v>
      </c>
      <c r="M42" s="34" t="n">
        <v>46303</v>
      </c>
      <c r="N42" s="34" t="n">
        <v>46307</v>
      </c>
      <c r="O42" s="29" t="n">
        <f aca="false">IF(OR(K42="",L42=""),"",IF(L42&lt;K42,"날짜 확인",NETWORKDAYS(K42,L42,휴일!$A$2:$A$2)))</f>
        <v>1</v>
      </c>
      <c r="P42" s="29" t="n">
        <f aca="false">IF(OR(M42="",N42=""),"",IF(N42&lt;M42,"날짜 확인",NETWORKDAYS(M42,N42,휴일!$A$2:$A$2)))</f>
        <v>2</v>
      </c>
      <c r="Q42" s="29" t="n">
        <f aca="false">IF(O42="","",IF($L$1&lt;K42,0,NETWORKDAYS(K42,MIN($L$1,L42),휴일!$A$2:$A$2)))</f>
        <v>1</v>
      </c>
      <c r="R42" s="29" t="n">
        <f aca="false">IF(M42="","",IF($L$1&lt;M42,0,NETWORKDAYS(M42,IF(N42="",$L$1,MIN($L$1,N42)),휴일!$A$2:$A$2)))</f>
        <v>2</v>
      </c>
      <c r="S42" s="30" t="n">
        <f aca="false">IF(O42="","",IF(O42=0,0,Q42/O42))</f>
        <v>1</v>
      </c>
      <c r="T42" s="31" t="n">
        <f aca="false">IF(OR(AND(AG42&lt;&gt;"",OR(NOT(ISNUMBER(AG42)),AG42&lt;=0)),AND(AH42&lt;&gt;"",OR(NOT(ISNUMBER(AH42)),AH42&lt;0)),AND(ISNUMBER(AG42),ISNUMBER(AH42),AH42&gt;AG42)),"수량 확인",IF(AF42="완료",1,IF(AF42="미착수",0,IF(AND(ISNUMBER(AG42),ISNUMBER(AH42)),AH42/AG42,""))))</f>
        <v>1</v>
      </c>
      <c r="U42" s="30" t="n">
        <f aca="false">IF(T42="","",T42)</f>
        <v>1</v>
      </c>
      <c r="V42" s="30" t="n">
        <f aca="false">IF(OR(U42="",S42=""),"",U42-S42)</f>
        <v>0</v>
      </c>
      <c r="W42" s="32" t="str">
        <f aca="false">IF(AND(ISNUMBER($M42),W$5&gt;=$M42,W$5&lt;=IF($N42="",$L$1,$N42),WEEKDAY(W$5,2)&lt;6,COUNTIF(휴일!$A$2:$A$2,W$5)=0),2,IF(AND(ISNUMBER($K42),W$5&gt;=$K42,W$5&lt;=$L42,WEEKDAY(W$5,2)&lt;6,COUNTIF(휴일!$A$2:$A$2,W$5)=0),1,""))</f>
        <v/>
      </c>
      <c r="X42" s="32" t="str">
        <f aca="false">IF(AND(ISNUMBER($M42),X$5&gt;=$M42,X$5&lt;=IF($N42="",$L$1,$N42),WEEKDAY(X$5,2)&lt;6,COUNTIF(휴일!$A$2:$A$2,X$5)=0),2,IF(AND(ISNUMBER($K42),X$5&gt;=$K42,X$5&lt;=$L42,WEEKDAY(X$5,2)&lt;6,COUNTIF(휴일!$A$2:$A$2,X$5)=0),1,""))</f>
        <v/>
      </c>
      <c r="Y42" s="32" t="n">
        <f aca="false">IF(AND(ISNUMBER($M42),Y$5&gt;=$M42,Y$5&lt;=IF($N42="",$L$1,$N42),WEEKDAY(Y$5,2)&lt;6,COUNTIF(휴일!$A$2:$A$2,Y$5)=0),2,IF(AND(ISNUMBER($K42),Y$5&gt;=$K42,Y$5&lt;=$L42,WEEKDAY(Y$5,2)&lt;6,COUNTIF(휴일!$A$2:$A$2,Y$5)=0),1,""))</f>
        <v>2</v>
      </c>
      <c r="Z42" s="33" t="str">
        <f aca="false">IF(AND(ISNUMBER($M42),Z$5&gt;=$M42,Z$5&lt;=IF($N42="",$L$1,$N42),WEEKDAY(Z$5,2)&lt;6,COUNTIF(휴일!$A$2:$A$2,Z$5)=0),2,IF(AND(ISNUMBER($K42),Z$5&gt;=$K42,Z$5&lt;=$L42,WEEKDAY(Z$5,2)&lt;6,COUNTIF(휴일!$A$2:$A$2,Z$5)=0),1,""))</f>
        <v/>
      </c>
      <c r="AA42" s="33" t="str">
        <f aca="false">IF(AND(ISNUMBER($M42),AA$5&gt;=$M42,AA$5&lt;=IF($N42="",$L$1,$N42),WEEKDAY(AA$5,2)&lt;6,COUNTIF(휴일!$A$2:$A$2,AA$5)=0),2,IF(AND(ISNUMBER($K42),AA$5&gt;=$K42,AA$5&lt;=$L42,WEEKDAY(AA$5,2)&lt;6,COUNTIF(휴일!$A$2:$A$2,AA$5)=0),1,""))</f>
        <v/>
      </c>
      <c r="AB42" s="33" t="str">
        <f aca="false">IF(AND(ISNUMBER($M42),AB$5&gt;=$M42,AB$5&lt;=IF($N42="",$L$1,$N42),WEEKDAY(AB$5,2)&lt;6,COUNTIF(휴일!$A$2:$A$2,AB$5)=0),2,IF(AND(ISNUMBER($K42),AB$5&gt;=$K42,AB$5&lt;=$L42,WEEKDAY(AB$5,2)&lt;6,COUNTIF(휴일!$A$2:$A$2,AB$5)=0),1,""))</f>
        <v/>
      </c>
      <c r="AC42" s="32" t="n">
        <f aca="false">IF(AND(ISNUMBER($M42),AC$5&gt;=$M42,AC$5&lt;=IF($N42="",$L$1,$N42),WEEKDAY(AC$5,2)&lt;6,COUNTIF(휴일!$A$2:$A$2,AC$5)=0),2,IF(AND(ISNUMBER($K42),AC$5&gt;=$K42,AC$5&lt;=$L42,WEEKDAY(AC$5,2)&lt;6,COUNTIF(휴일!$A$2:$A$2,AC$5)=0),1,""))</f>
        <v>2</v>
      </c>
      <c r="AD42" s="32" t="str">
        <f aca="false">IF(AND(ISNUMBER($M42),AD$5&gt;=$M42,AD$5&lt;=IF($N42="",$L$1,$N42),WEEKDAY(AD$5,2)&lt;6,COUNTIF(휴일!$A$2:$A$2,AD$5)=0),2,IF(AND(ISNUMBER($K42),AD$5&gt;=$K42,AD$5&lt;=$L42,WEEKDAY(AD$5,2)&lt;6,COUNTIF(휴일!$A$2:$A$2,AD$5)=0),1,""))</f>
        <v/>
      </c>
      <c r="AE42" s="32" t="str">
        <f aca="false">IF(AND(ISNUMBER($M42),AE$5&gt;=$M42,AE$5&lt;=IF($N42="",$L$1,$N42),WEEKDAY(AE$5,2)&lt;6,COUNTIF(휴일!$A$2:$A$2,AE$5)=0),2,IF(AND(ISNUMBER($K42),AE$5&gt;=$K42,AE$5&lt;=$L42,WEEKDAY(AE$5,2)&lt;6,COUNTIF(휴일!$A$2:$A$2,AE$5)=0),1,""))</f>
        <v/>
      </c>
      <c r="AF42" s="25" t="s">
        <v>36</v>
      </c>
      <c r="AG42" s="26"/>
      <c r="AH42" s="26"/>
    </row>
    <row r="43" customFormat="false" ht="54" hidden="false" customHeight="true" outlineLevel="0" collapsed="false">
      <c r="A43" s="2"/>
      <c r="B43" s="14"/>
      <c r="C43" s="14"/>
      <c r="D43" s="16"/>
      <c r="E43" s="16"/>
      <c r="F43" s="27" t="s">
        <v>113</v>
      </c>
      <c r="G43" s="27"/>
      <c r="H43" s="27" t="s">
        <v>33</v>
      </c>
      <c r="I43" s="27" t="s">
        <v>34</v>
      </c>
      <c r="J43" s="27" t="s">
        <v>114</v>
      </c>
      <c r="K43" s="28" t="n">
        <v>46307</v>
      </c>
      <c r="L43" s="28" t="n">
        <v>46307</v>
      </c>
      <c r="M43" s="34" t="n">
        <v>46303</v>
      </c>
      <c r="N43" s="34" t="n">
        <v>46307</v>
      </c>
      <c r="O43" s="29" t="n">
        <f aca="false">IF(OR(K43="",L43=""),"",IF(L43&lt;K43,"날짜 확인",NETWORKDAYS(K43,L43,휴일!$A$2:$A$2)))</f>
        <v>1</v>
      </c>
      <c r="P43" s="29" t="n">
        <f aca="false">IF(OR(M43="",N43=""),"",IF(N43&lt;M43,"날짜 확인",NETWORKDAYS(M43,N43,휴일!$A$2:$A$2)))</f>
        <v>2</v>
      </c>
      <c r="Q43" s="29" t="n">
        <f aca="false">IF(O43="","",IF($L$1&lt;K43,0,NETWORKDAYS(K43,MIN($L$1,L43),휴일!$A$2:$A$2)))</f>
        <v>1</v>
      </c>
      <c r="R43" s="29" t="n">
        <f aca="false">IF(M43="","",IF($L$1&lt;M43,0,NETWORKDAYS(M43,IF(N43="",$L$1,MIN($L$1,N43)),휴일!$A$2:$A$2)))</f>
        <v>2</v>
      </c>
      <c r="S43" s="30" t="n">
        <f aca="false">IF(O43="","",IF(O43=0,0,Q43/O43))</f>
        <v>1</v>
      </c>
      <c r="T43" s="31" t="n">
        <f aca="false">IF(OR(AND(AG43&lt;&gt;"",OR(NOT(ISNUMBER(AG43)),AG43&lt;=0)),AND(AH43&lt;&gt;"",OR(NOT(ISNUMBER(AH43)),AH43&lt;0)),AND(ISNUMBER(AG43),ISNUMBER(AH43),AH43&gt;AG43)),"수량 확인",IF(AF43="완료",1,IF(AF43="미착수",0,IF(AND(ISNUMBER(AG43),ISNUMBER(AH43)),AH43/AG43,""))))</f>
        <v>1</v>
      </c>
      <c r="U43" s="30" t="n">
        <f aca="false">IF(T43="","",T43)</f>
        <v>1</v>
      </c>
      <c r="V43" s="30" t="n">
        <f aca="false">IF(OR(U43="",S43=""),"",U43-S43)</f>
        <v>0</v>
      </c>
      <c r="W43" s="32" t="str">
        <f aca="false">IF(AND(ISNUMBER($M43),W$5&gt;=$M43,W$5&lt;=IF($N43="",$L$1,$N43),WEEKDAY(W$5,2)&lt;6,COUNTIF(휴일!$A$2:$A$2,W$5)=0),2,IF(AND(ISNUMBER($K43),W$5&gt;=$K43,W$5&lt;=$L43,WEEKDAY(W$5,2)&lt;6,COUNTIF(휴일!$A$2:$A$2,W$5)=0),1,""))</f>
        <v/>
      </c>
      <c r="X43" s="32" t="str">
        <f aca="false">IF(AND(ISNUMBER($M43),X$5&gt;=$M43,X$5&lt;=IF($N43="",$L$1,$N43),WEEKDAY(X$5,2)&lt;6,COUNTIF(휴일!$A$2:$A$2,X$5)=0),2,IF(AND(ISNUMBER($K43),X$5&gt;=$K43,X$5&lt;=$L43,WEEKDAY(X$5,2)&lt;6,COUNTIF(휴일!$A$2:$A$2,X$5)=0),1,""))</f>
        <v/>
      </c>
      <c r="Y43" s="32" t="n">
        <f aca="false">IF(AND(ISNUMBER($M43),Y$5&gt;=$M43,Y$5&lt;=IF($N43="",$L$1,$N43),WEEKDAY(Y$5,2)&lt;6,COUNTIF(휴일!$A$2:$A$2,Y$5)=0),2,IF(AND(ISNUMBER($K43),Y$5&gt;=$K43,Y$5&lt;=$L43,WEEKDAY(Y$5,2)&lt;6,COUNTIF(휴일!$A$2:$A$2,Y$5)=0),1,""))</f>
        <v>2</v>
      </c>
      <c r="Z43" s="33" t="str">
        <f aca="false">IF(AND(ISNUMBER($M43),Z$5&gt;=$M43,Z$5&lt;=IF($N43="",$L$1,$N43),WEEKDAY(Z$5,2)&lt;6,COUNTIF(휴일!$A$2:$A$2,Z$5)=0),2,IF(AND(ISNUMBER($K43),Z$5&gt;=$K43,Z$5&lt;=$L43,WEEKDAY(Z$5,2)&lt;6,COUNTIF(휴일!$A$2:$A$2,Z$5)=0),1,""))</f>
        <v/>
      </c>
      <c r="AA43" s="33" t="str">
        <f aca="false">IF(AND(ISNUMBER($M43),AA$5&gt;=$M43,AA$5&lt;=IF($N43="",$L$1,$N43),WEEKDAY(AA$5,2)&lt;6,COUNTIF(휴일!$A$2:$A$2,AA$5)=0),2,IF(AND(ISNUMBER($K43),AA$5&gt;=$K43,AA$5&lt;=$L43,WEEKDAY(AA$5,2)&lt;6,COUNTIF(휴일!$A$2:$A$2,AA$5)=0),1,""))</f>
        <v/>
      </c>
      <c r="AB43" s="33" t="str">
        <f aca="false">IF(AND(ISNUMBER($M43),AB$5&gt;=$M43,AB$5&lt;=IF($N43="",$L$1,$N43),WEEKDAY(AB$5,2)&lt;6,COUNTIF(휴일!$A$2:$A$2,AB$5)=0),2,IF(AND(ISNUMBER($K43),AB$5&gt;=$K43,AB$5&lt;=$L43,WEEKDAY(AB$5,2)&lt;6,COUNTIF(휴일!$A$2:$A$2,AB$5)=0),1,""))</f>
        <v/>
      </c>
      <c r="AC43" s="32" t="n">
        <f aca="false">IF(AND(ISNUMBER($M43),AC$5&gt;=$M43,AC$5&lt;=IF($N43="",$L$1,$N43),WEEKDAY(AC$5,2)&lt;6,COUNTIF(휴일!$A$2:$A$2,AC$5)=0),2,IF(AND(ISNUMBER($K43),AC$5&gt;=$K43,AC$5&lt;=$L43,WEEKDAY(AC$5,2)&lt;6,COUNTIF(휴일!$A$2:$A$2,AC$5)=0),1,""))</f>
        <v>2</v>
      </c>
      <c r="AD43" s="32" t="str">
        <f aca="false">IF(AND(ISNUMBER($M43),AD$5&gt;=$M43,AD$5&lt;=IF($N43="",$L$1,$N43),WEEKDAY(AD$5,2)&lt;6,COUNTIF(휴일!$A$2:$A$2,AD$5)=0),2,IF(AND(ISNUMBER($K43),AD$5&gt;=$K43,AD$5&lt;=$L43,WEEKDAY(AD$5,2)&lt;6,COUNTIF(휴일!$A$2:$A$2,AD$5)=0),1,""))</f>
        <v/>
      </c>
      <c r="AE43" s="32" t="str">
        <f aca="false">IF(AND(ISNUMBER($M43),AE$5&gt;=$M43,AE$5&lt;=IF($N43="",$L$1,$N43),WEEKDAY(AE$5,2)&lt;6,COUNTIF(휴일!$A$2:$A$2,AE$5)=0),2,IF(AND(ISNUMBER($K43),AE$5&gt;=$K43,AE$5&lt;=$L43,WEEKDAY(AE$5,2)&lt;6,COUNTIF(휴일!$A$2:$A$2,AE$5)=0),1,""))</f>
        <v/>
      </c>
      <c r="AF43" s="25" t="s">
        <v>36</v>
      </c>
      <c r="AG43" s="26"/>
      <c r="AH43" s="26"/>
    </row>
    <row r="44" customFormat="false" ht="54" hidden="false" customHeight="true" outlineLevel="0" collapsed="false">
      <c r="A44" s="2"/>
      <c r="B44" s="14"/>
      <c r="C44" s="14"/>
      <c r="D44" s="16"/>
      <c r="E44" s="16"/>
      <c r="F44" s="27" t="s">
        <v>115</v>
      </c>
      <c r="G44" s="27"/>
      <c r="H44" s="27" t="s">
        <v>33</v>
      </c>
      <c r="I44" s="27" t="s">
        <v>34</v>
      </c>
      <c r="J44" s="27" t="s">
        <v>116</v>
      </c>
      <c r="K44" s="28" t="n">
        <v>46307</v>
      </c>
      <c r="L44" s="28" t="n">
        <v>46307</v>
      </c>
      <c r="M44" s="34" t="n">
        <v>46307</v>
      </c>
      <c r="N44" s="34" t="n">
        <v>46307</v>
      </c>
      <c r="O44" s="29" t="n">
        <f aca="false">IF(OR(K44="",L44=""),"",IF(L44&lt;K44,"날짜 확인",NETWORKDAYS(K44,L44,휴일!$A$2:$A$2)))</f>
        <v>1</v>
      </c>
      <c r="P44" s="29" t="n">
        <f aca="false">IF(OR(M44="",N44=""),"",IF(N44&lt;M44,"날짜 확인",NETWORKDAYS(M44,N44,휴일!$A$2:$A$2)))</f>
        <v>1</v>
      </c>
      <c r="Q44" s="29" t="n">
        <f aca="false">IF(O44="","",IF($L$1&lt;K44,0,NETWORKDAYS(K44,MIN($L$1,L44),휴일!$A$2:$A$2)))</f>
        <v>1</v>
      </c>
      <c r="R44" s="29" t="n">
        <f aca="false">IF(M44="","",IF($L$1&lt;M44,0,NETWORKDAYS(M44,IF(N44="",$L$1,MIN($L$1,N44)),휴일!$A$2:$A$2)))</f>
        <v>1</v>
      </c>
      <c r="S44" s="30" t="n">
        <f aca="false">IF(O44="","",IF(O44=0,0,Q44/O44))</f>
        <v>1</v>
      </c>
      <c r="T44" s="31" t="n">
        <f aca="false">IF(OR(AND(AG44&lt;&gt;"",OR(NOT(ISNUMBER(AG44)),AG44&lt;=0)),AND(AH44&lt;&gt;"",OR(NOT(ISNUMBER(AH44)),AH44&lt;0)),AND(ISNUMBER(AG44),ISNUMBER(AH44),AH44&gt;AG44)),"수량 확인",IF(AF44="완료",1,IF(AF44="미착수",0,IF(AND(ISNUMBER(AG44),ISNUMBER(AH44)),AH44/AG44,""))))</f>
        <v>1</v>
      </c>
      <c r="U44" s="30" t="n">
        <f aca="false">IF(T44="","",T44)</f>
        <v>1</v>
      </c>
      <c r="V44" s="30" t="n">
        <f aca="false">IF(OR(U44="",S44=""),"",U44-S44)</f>
        <v>0</v>
      </c>
      <c r="W44" s="32" t="str">
        <f aca="false">IF(AND(ISNUMBER($M44),W$5&gt;=$M44,W$5&lt;=IF($N44="",$L$1,$N44),WEEKDAY(W$5,2)&lt;6,COUNTIF(휴일!$A$2:$A$2,W$5)=0),2,IF(AND(ISNUMBER($K44),W$5&gt;=$K44,W$5&lt;=$L44,WEEKDAY(W$5,2)&lt;6,COUNTIF(휴일!$A$2:$A$2,W$5)=0),1,""))</f>
        <v/>
      </c>
      <c r="X44" s="32" t="str">
        <f aca="false">IF(AND(ISNUMBER($M44),X$5&gt;=$M44,X$5&lt;=IF($N44="",$L$1,$N44),WEEKDAY(X$5,2)&lt;6,COUNTIF(휴일!$A$2:$A$2,X$5)=0),2,IF(AND(ISNUMBER($K44),X$5&gt;=$K44,X$5&lt;=$L44,WEEKDAY(X$5,2)&lt;6,COUNTIF(휴일!$A$2:$A$2,X$5)=0),1,""))</f>
        <v/>
      </c>
      <c r="Y44" s="32" t="str">
        <f aca="false">IF(AND(ISNUMBER($M44),Y$5&gt;=$M44,Y$5&lt;=IF($N44="",$L$1,$N44),WEEKDAY(Y$5,2)&lt;6,COUNTIF(휴일!$A$2:$A$2,Y$5)=0),2,IF(AND(ISNUMBER($K44),Y$5&gt;=$K44,Y$5&lt;=$L44,WEEKDAY(Y$5,2)&lt;6,COUNTIF(휴일!$A$2:$A$2,Y$5)=0),1,""))</f>
        <v/>
      </c>
      <c r="Z44" s="33" t="str">
        <f aca="false">IF(AND(ISNUMBER($M44),Z$5&gt;=$M44,Z$5&lt;=IF($N44="",$L$1,$N44),WEEKDAY(Z$5,2)&lt;6,COUNTIF(휴일!$A$2:$A$2,Z$5)=0),2,IF(AND(ISNUMBER($K44),Z$5&gt;=$K44,Z$5&lt;=$L44,WEEKDAY(Z$5,2)&lt;6,COUNTIF(휴일!$A$2:$A$2,Z$5)=0),1,""))</f>
        <v/>
      </c>
      <c r="AA44" s="33" t="str">
        <f aca="false">IF(AND(ISNUMBER($M44),AA$5&gt;=$M44,AA$5&lt;=IF($N44="",$L$1,$N44),WEEKDAY(AA$5,2)&lt;6,COUNTIF(휴일!$A$2:$A$2,AA$5)=0),2,IF(AND(ISNUMBER($K44),AA$5&gt;=$K44,AA$5&lt;=$L44,WEEKDAY(AA$5,2)&lt;6,COUNTIF(휴일!$A$2:$A$2,AA$5)=0),1,""))</f>
        <v/>
      </c>
      <c r="AB44" s="33" t="str">
        <f aca="false">IF(AND(ISNUMBER($M44),AB$5&gt;=$M44,AB$5&lt;=IF($N44="",$L$1,$N44),WEEKDAY(AB$5,2)&lt;6,COUNTIF(휴일!$A$2:$A$2,AB$5)=0),2,IF(AND(ISNUMBER($K44),AB$5&gt;=$K44,AB$5&lt;=$L44,WEEKDAY(AB$5,2)&lt;6,COUNTIF(휴일!$A$2:$A$2,AB$5)=0),1,""))</f>
        <v/>
      </c>
      <c r="AC44" s="32" t="n">
        <f aca="false">IF(AND(ISNUMBER($M44),AC$5&gt;=$M44,AC$5&lt;=IF($N44="",$L$1,$N44),WEEKDAY(AC$5,2)&lt;6,COUNTIF(휴일!$A$2:$A$2,AC$5)=0),2,IF(AND(ISNUMBER($K44),AC$5&gt;=$K44,AC$5&lt;=$L44,WEEKDAY(AC$5,2)&lt;6,COUNTIF(휴일!$A$2:$A$2,AC$5)=0),1,""))</f>
        <v>2</v>
      </c>
      <c r="AD44" s="32" t="str">
        <f aca="false">IF(AND(ISNUMBER($M44),AD$5&gt;=$M44,AD$5&lt;=IF($N44="",$L$1,$N44),WEEKDAY(AD$5,2)&lt;6,COUNTIF(휴일!$A$2:$A$2,AD$5)=0),2,IF(AND(ISNUMBER($K44),AD$5&gt;=$K44,AD$5&lt;=$L44,WEEKDAY(AD$5,2)&lt;6,COUNTIF(휴일!$A$2:$A$2,AD$5)=0),1,""))</f>
        <v/>
      </c>
      <c r="AE44" s="32" t="str">
        <f aca="false">IF(AND(ISNUMBER($M44),AE$5&gt;=$M44,AE$5&lt;=IF($N44="",$L$1,$N44),WEEKDAY(AE$5,2)&lt;6,COUNTIF(휴일!$A$2:$A$2,AE$5)=0),2,IF(AND(ISNUMBER($K44),AE$5&gt;=$K44,AE$5&lt;=$L44,WEEKDAY(AE$5,2)&lt;6,COUNTIF(휴일!$A$2:$A$2,AE$5)=0),1,""))</f>
        <v/>
      </c>
      <c r="AF44" s="25" t="s">
        <v>36</v>
      </c>
      <c r="AG44" s="26"/>
      <c r="AH44" s="26"/>
    </row>
    <row r="45" customFormat="false" ht="54" hidden="false" customHeight="true" outlineLevel="0" collapsed="false">
      <c r="A45" s="2"/>
      <c r="B45" s="14"/>
      <c r="C45" s="14"/>
      <c r="D45" s="16"/>
      <c r="E45" s="16"/>
      <c r="F45" s="27" t="s">
        <v>117</v>
      </c>
      <c r="G45" s="27"/>
      <c r="H45" s="27" t="s">
        <v>33</v>
      </c>
      <c r="I45" s="27" t="s">
        <v>34</v>
      </c>
      <c r="J45" s="27" t="s">
        <v>118</v>
      </c>
      <c r="K45" s="28" t="n">
        <v>46307</v>
      </c>
      <c r="L45" s="28" t="n">
        <v>46307</v>
      </c>
      <c r="M45" s="34" t="n">
        <v>46307</v>
      </c>
      <c r="N45" s="34" t="n">
        <v>46307</v>
      </c>
      <c r="O45" s="29" t="n">
        <f aca="false">IF(OR(K45="",L45=""),"",IF(L45&lt;K45,"날짜 확인",NETWORKDAYS(K45,L45,휴일!$A$2:$A$2)))</f>
        <v>1</v>
      </c>
      <c r="P45" s="29" t="n">
        <f aca="false">IF(OR(M45="",N45=""),"",IF(N45&lt;M45,"날짜 확인",NETWORKDAYS(M45,N45,휴일!$A$2:$A$2)))</f>
        <v>1</v>
      </c>
      <c r="Q45" s="29" t="n">
        <f aca="false">IF(O45="","",IF($L$1&lt;K45,0,NETWORKDAYS(K45,MIN($L$1,L45),휴일!$A$2:$A$2)))</f>
        <v>1</v>
      </c>
      <c r="R45" s="29" t="n">
        <f aca="false">IF(M45="","",IF($L$1&lt;M45,0,NETWORKDAYS(M45,IF(N45="",$L$1,MIN($L$1,N45)),휴일!$A$2:$A$2)))</f>
        <v>1</v>
      </c>
      <c r="S45" s="30" t="n">
        <f aca="false">IF(O45="","",IF(O45=0,0,Q45/O45))</f>
        <v>1</v>
      </c>
      <c r="T45" s="31" t="n">
        <f aca="false">IF(OR(AND(AG45&lt;&gt;"",OR(NOT(ISNUMBER(AG45)),AG45&lt;=0)),AND(AH45&lt;&gt;"",OR(NOT(ISNUMBER(AH45)),AH45&lt;0)),AND(ISNUMBER(AG45),ISNUMBER(AH45),AH45&gt;AG45)),"수량 확인",IF(AF45="완료",1,IF(AF45="미착수",0,IF(AND(ISNUMBER(AG45),ISNUMBER(AH45)),AH45/AG45,""))))</f>
        <v>1</v>
      </c>
      <c r="U45" s="30" t="n">
        <f aca="false">IF(T45="","",T45)</f>
        <v>1</v>
      </c>
      <c r="V45" s="30" t="n">
        <f aca="false">IF(OR(U45="",S45=""),"",U45-S45)</f>
        <v>0</v>
      </c>
      <c r="W45" s="32" t="str">
        <f aca="false">IF(AND(ISNUMBER($M45),W$5&gt;=$M45,W$5&lt;=IF($N45="",$L$1,$N45),WEEKDAY(W$5,2)&lt;6,COUNTIF(휴일!$A$2:$A$2,W$5)=0),2,IF(AND(ISNUMBER($K45),W$5&gt;=$K45,W$5&lt;=$L45,WEEKDAY(W$5,2)&lt;6,COUNTIF(휴일!$A$2:$A$2,W$5)=0),1,""))</f>
        <v/>
      </c>
      <c r="X45" s="32" t="str">
        <f aca="false">IF(AND(ISNUMBER($M45),X$5&gt;=$M45,X$5&lt;=IF($N45="",$L$1,$N45),WEEKDAY(X$5,2)&lt;6,COUNTIF(휴일!$A$2:$A$2,X$5)=0),2,IF(AND(ISNUMBER($K45),X$5&gt;=$K45,X$5&lt;=$L45,WEEKDAY(X$5,2)&lt;6,COUNTIF(휴일!$A$2:$A$2,X$5)=0),1,""))</f>
        <v/>
      </c>
      <c r="Y45" s="32" t="str">
        <f aca="false">IF(AND(ISNUMBER($M45),Y$5&gt;=$M45,Y$5&lt;=IF($N45="",$L$1,$N45),WEEKDAY(Y$5,2)&lt;6,COUNTIF(휴일!$A$2:$A$2,Y$5)=0),2,IF(AND(ISNUMBER($K45),Y$5&gt;=$K45,Y$5&lt;=$L45,WEEKDAY(Y$5,2)&lt;6,COUNTIF(휴일!$A$2:$A$2,Y$5)=0),1,""))</f>
        <v/>
      </c>
      <c r="Z45" s="33" t="str">
        <f aca="false">IF(AND(ISNUMBER($M45),Z$5&gt;=$M45,Z$5&lt;=IF($N45="",$L$1,$N45),WEEKDAY(Z$5,2)&lt;6,COUNTIF(휴일!$A$2:$A$2,Z$5)=0),2,IF(AND(ISNUMBER($K45),Z$5&gt;=$K45,Z$5&lt;=$L45,WEEKDAY(Z$5,2)&lt;6,COUNTIF(휴일!$A$2:$A$2,Z$5)=0),1,""))</f>
        <v/>
      </c>
      <c r="AA45" s="33" t="str">
        <f aca="false">IF(AND(ISNUMBER($M45),AA$5&gt;=$M45,AA$5&lt;=IF($N45="",$L$1,$N45),WEEKDAY(AA$5,2)&lt;6,COUNTIF(휴일!$A$2:$A$2,AA$5)=0),2,IF(AND(ISNUMBER($K45),AA$5&gt;=$K45,AA$5&lt;=$L45,WEEKDAY(AA$5,2)&lt;6,COUNTIF(휴일!$A$2:$A$2,AA$5)=0),1,""))</f>
        <v/>
      </c>
      <c r="AB45" s="33" t="str">
        <f aca="false">IF(AND(ISNUMBER($M45),AB$5&gt;=$M45,AB$5&lt;=IF($N45="",$L$1,$N45),WEEKDAY(AB$5,2)&lt;6,COUNTIF(휴일!$A$2:$A$2,AB$5)=0),2,IF(AND(ISNUMBER($K45),AB$5&gt;=$K45,AB$5&lt;=$L45,WEEKDAY(AB$5,2)&lt;6,COUNTIF(휴일!$A$2:$A$2,AB$5)=0),1,""))</f>
        <v/>
      </c>
      <c r="AC45" s="32" t="n">
        <f aca="false">IF(AND(ISNUMBER($M45),AC$5&gt;=$M45,AC$5&lt;=IF($N45="",$L$1,$N45),WEEKDAY(AC$5,2)&lt;6,COUNTIF(휴일!$A$2:$A$2,AC$5)=0),2,IF(AND(ISNUMBER($K45),AC$5&gt;=$K45,AC$5&lt;=$L45,WEEKDAY(AC$5,2)&lt;6,COUNTIF(휴일!$A$2:$A$2,AC$5)=0),1,""))</f>
        <v>2</v>
      </c>
      <c r="AD45" s="32" t="str">
        <f aca="false">IF(AND(ISNUMBER($M45),AD$5&gt;=$M45,AD$5&lt;=IF($N45="",$L$1,$N45),WEEKDAY(AD$5,2)&lt;6,COUNTIF(휴일!$A$2:$A$2,AD$5)=0),2,IF(AND(ISNUMBER($K45),AD$5&gt;=$K45,AD$5&lt;=$L45,WEEKDAY(AD$5,2)&lt;6,COUNTIF(휴일!$A$2:$A$2,AD$5)=0),1,""))</f>
        <v/>
      </c>
      <c r="AE45" s="32" t="str">
        <f aca="false">IF(AND(ISNUMBER($M45),AE$5&gt;=$M45,AE$5&lt;=IF($N45="",$L$1,$N45),WEEKDAY(AE$5,2)&lt;6,COUNTIF(휴일!$A$2:$A$2,AE$5)=0),2,IF(AND(ISNUMBER($K45),AE$5&gt;=$K45,AE$5&lt;=$L45,WEEKDAY(AE$5,2)&lt;6,COUNTIF(휴일!$A$2:$A$2,AE$5)=0),1,""))</f>
        <v/>
      </c>
      <c r="AF45" s="25" t="s">
        <v>36</v>
      </c>
      <c r="AG45" s="26"/>
      <c r="AH45" s="26"/>
    </row>
    <row r="46" customFormat="false" ht="54" hidden="false" customHeight="true" outlineLevel="0" collapsed="false">
      <c r="A46" s="2"/>
      <c r="B46" s="14"/>
      <c r="C46" s="14"/>
      <c r="D46" s="16"/>
      <c r="E46" s="16"/>
      <c r="F46" s="27" t="s">
        <v>119</v>
      </c>
      <c r="G46" s="27"/>
      <c r="H46" s="27" t="s">
        <v>33</v>
      </c>
      <c r="I46" s="27" t="s">
        <v>34</v>
      </c>
      <c r="J46" s="27" t="s">
        <v>120</v>
      </c>
      <c r="K46" s="28" t="n">
        <v>46307</v>
      </c>
      <c r="L46" s="28" t="n">
        <v>46307</v>
      </c>
      <c r="M46" s="34" t="n">
        <v>46307</v>
      </c>
      <c r="N46" s="34" t="n">
        <v>46307</v>
      </c>
      <c r="O46" s="29" t="n">
        <f aca="false">IF(OR(K46="",L46=""),"",IF(L46&lt;K46,"날짜 확인",NETWORKDAYS(K46,L46,휴일!$A$2:$A$2)))</f>
        <v>1</v>
      </c>
      <c r="P46" s="29" t="n">
        <f aca="false">IF(OR(M46="",N46=""),"",IF(N46&lt;M46,"날짜 확인",NETWORKDAYS(M46,N46,휴일!$A$2:$A$2)))</f>
        <v>1</v>
      </c>
      <c r="Q46" s="29" t="n">
        <f aca="false">IF(O46="","",IF($L$1&lt;K46,0,NETWORKDAYS(K46,MIN($L$1,L46),휴일!$A$2:$A$2)))</f>
        <v>1</v>
      </c>
      <c r="R46" s="29" t="n">
        <f aca="false">IF(M46="","",IF($L$1&lt;M46,0,NETWORKDAYS(M46,IF(N46="",$L$1,MIN($L$1,N46)),휴일!$A$2:$A$2)))</f>
        <v>1</v>
      </c>
      <c r="S46" s="30" t="n">
        <f aca="false">IF(O46="","",IF(O46=0,0,Q46/O46))</f>
        <v>1</v>
      </c>
      <c r="T46" s="31" t="n">
        <f aca="false">IF(OR(AND(AG46&lt;&gt;"",OR(NOT(ISNUMBER(AG46)),AG46&lt;=0)),AND(AH46&lt;&gt;"",OR(NOT(ISNUMBER(AH46)),AH46&lt;0)),AND(ISNUMBER(AG46),ISNUMBER(AH46),AH46&gt;AG46)),"수량 확인",IF(AF46="완료",1,IF(AF46="미착수",0,IF(AND(ISNUMBER(AG46),ISNUMBER(AH46)),AH46/AG46,""))))</f>
        <v>1</v>
      </c>
      <c r="U46" s="30" t="n">
        <f aca="false">IF(T46="","",T46)</f>
        <v>1</v>
      </c>
      <c r="V46" s="30" t="n">
        <f aca="false">IF(OR(U46="",S46=""),"",U46-S46)</f>
        <v>0</v>
      </c>
      <c r="W46" s="32" t="str">
        <f aca="false">IF(AND(ISNUMBER($M46),W$5&gt;=$M46,W$5&lt;=IF($N46="",$L$1,$N46),WEEKDAY(W$5,2)&lt;6,COUNTIF(휴일!$A$2:$A$2,W$5)=0),2,IF(AND(ISNUMBER($K46),W$5&gt;=$K46,W$5&lt;=$L46,WEEKDAY(W$5,2)&lt;6,COUNTIF(휴일!$A$2:$A$2,W$5)=0),1,""))</f>
        <v/>
      </c>
      <c r="X46" s="32" t="str">
        <f aca="false">IF(AND(ISNUMBER($M46),X$5&gt;=$M46,X$5&lt;=IF($N46="",$L$1,$N46),WEEKDAY(X$5,2)&lt;6,COUNTIF(휴일!$A$2:$A$2,X$5)=0),2,IF(AND(ISNUMBER($K46),X$5&gt;=$K46,X$5&lt;=$L46,WEEKDAY(X$5,2)&lt;6,COUNTIF(휴일!$A$2:$A$2,X$5)=0),1,""))</f>
        <v/>
      </c>
      <c r="Y46" s="32" t="str">
        <f aca="false">IF(AND(ISNUMBER($M46),Y$5&gt;=$M46,Y$5&lt;=IF($N46="",$L$1,$N46),WEEKDAY(Y$5,2)&lt;6,COUNTIF(휴일!$A$2:$A$2,Y$5)=0),2,IF(AND(ISNUMBER($K46),Y$5&gt;=$K46,Y$5&lt;=$L46,WEEKDAY(Y$5,2)&lt;6,COUNTIF(휴일!$A$2:$A$2,Y$5)=0),1,""))</f>
        <v/>
      </c>
      <c r="Z46" s="33" t="str">
        <f aca="false">IF(AND(ISNUMBER($M46),Z$5&gt;=$M46,Z$5&lt;=IF($N46="",$L$1,$N46),WEEKDAY(Z$5,2)&lt;6,COUNTIF(휴일!$A$2:$A$2,Z$5)=0),2,IF(AND(ISNUMBER($K46),Z$5&gt;=$K46,Z$5&lt;=$L46,WEEKDAY(Z$5,2)&lt;6,COUNTIF(휴일!$A$2:$A$2,Z$5)=0),1,""))</f>
        <v/>
      </c>
      <c r="AA46" s="33" t="str">
        <f aca="false">IF(AND(ISNUMBER($M46),AA$5&gt;=$M46,AA$5&lt;=IF($N46="",$L$1,$N46),WEEKDAY(AA$5,2)&lt;6,COUNTIF(휴일!$A$2:$A$2,AA$5)=0),2,IF(AND(ISNUMBER($K46),AA$5&gt;=$K46,AA$5&lt;=$L46,WEEKDAY(AA$5,2)&lt;6,COUNTIF(휴일!$A$2:$A$2,AA$5)=0),1,""))</f>
        <v/>
      </c>
      <c r="AB46" s="33" t="str">
        <f aca="false">IF(AND(ISNUMBER($M46),AB$5&gt;=$M46,AB$5&lt;=IF($N46="",$L$1,$N46),WEEKDAY(AB$5,2)&lt;6,COUNTIF(휴일!$A$2:$A$2,AB$5)=0),2,IF(AND(ISNUMBER($K46),AB$5&gt;=$K46,AB$5&lt;=$L46,WEEKDAY(AB$5,2)&lt;6,COUNTIF(휴일!$A$2:$A$2,AB$5)=0),1,""))</f>
        <v/>
      </c>
      <c r="AC46" s="32" t="n">
        <f aca="false">IF(AND(ISNUMBER($M46),AC$5&gt;=$M46,AC$5&lt;=IF($N46="",$L$1,$N46),WEEKDAY(AC$5,2)&lt;6,COUNTIF(휴일!$A$2:$A$2,AC$5)=0),2,IF(AND(ISNUMBER($K46),AC$5&gt;=$K46,AC$5&lt;=$L46,WEEKDAY(AC$5,2)&lt;6,COUNTIF(휴일!$A$2:$A$2,AC$5)=0),1,""))</f>
        <v>2</v>
      </c>
      <c r="AD46" s="32" t="str">
        <f aca="false">IF(AND(ISNUMBER($M46),AD$5&gt;=$M46,AD$5&lt;=IF($N46="",$L$1,$N46),WEEKDAY(AD$5,2)&lt;6,COUNTIF(휴일!$A$2:$A$2,AD$5)=0),2,IF(AND(ISNUMBER($K46),AD$5&gt;=$K46,AD$5&lt;=$L46,WEEKDAY(AD$5,2)&lt;6,COUNTIF(휴일!$A$2:$A$2,AD$5)=0),1,""))</f>
        <v/>
      </c>
      <c r="AE46" s="32" t="str">
        <f aca="false">IF(AND(ISNUMBER($M46),AE$5&gt;=$M46,AE$5&lt;=IF($N46="",$L$1,$N46),WEEKDAY(AE$5,2)&lt;6,COUNTIF(휴일!$A$2:$A$2,AE$5)=0),2,IF(AND(ISNUMBER($K46),AE$5&gt;=$K46,AE$5&lt;=$L46,WEEKDAY(AE$5,2)&lt;6,COUNTIF(휴일!$A$2:$A$2,AE$5)=0),1,""))</f>
        <v/>
      </c>
      <c r="AF46" s="25" t="s">
        <v>36</v>
      </c>
      <c r="AG46" s="26"/>
      <c r="AH46" s="26"/>
    </row>
    <row r="47" customFormat="false" ht="54" hidden="false" customHeight="true" outlineLevel="0" collapsed="false">
      <c r="A47" s="2"/>
      <c r="B47" s="14"/>
      <c r="C47" s="14"/>
      <c r="D47" s="16"/>
      <c r="E47" s="16"/>
      <c r="F47" s="27" t="s">
        <v>121</v>
      </c>
      <c r="G47" s="27"/>
      <c r="H47" s="27" t="s">
        <v>33</v>
      </c>
      <c r="I47" s="27" t="s">
        <v>34</v>
      </c>
      <c r="J47" s="27" t="s">
        <v>122</v>
      </c>
      <c r="K47" s="28" t="n">
        <v>46307</v>
      </c>
      <c r="L47" s="28" t="n">
        <v>46307</v>
      </c>
      <c r="M47" s="34" t="n">
        <v>46307</v>
      </c>
      <c r="N47" s="34" t="n">
        <v>46307</v>
      </c>
      <c r="O47" s="29" t="n">
        <f aca="false">IF(OR(K47="",L47=""),"",IF(L47&lt;K47,"날짜 확인",NETWORKDAYS(K47,L47,휴일!$A$2:$A$2)))</f>
        <v>1</v>
      </c>
      <c r="P47" s="29" t="n">
        <f aca="false">IF(OR(M47="",N47=""),"",IF(N47&lt;M47,"날짜 확인",NETWORKDAYS(M47,N47,휴일!$A$2:$A$2)))</f>
        <v>1</v>
      </c>
      <c r="Q47" s="29" t="n">
        <f aca="false">IF(O47="","",IF($L$1&lt;K47,0,NETWORKDAYS(K47,MIN($L$1,L47),휴일!$A$2:$A$2)))</f>
        <v>1</v>
      </c>
      <c r="R47" s="29" t="n">
        <f aca="false">IF(M47="","",IF($L$1&lt;M47,0,NETWORKDAYS(M47,IF(N47="",$L$1,MIN($L$1,N47)),휴일!$A$2:$A$2)))</f>
        <v>1</v>
      </c>
      <c r="S47" s="30" t="n">
        <f aca="false">IF(O47="","",IF(O47=0,0,Q47/O47))</f>
        <v>1</v>
      </c>
      <c r="T47" s="31" t="n">
        <f aca="false">IF(OR(AND(AG47&lt;&gt;"",OR(NOT(ISNUMBER(AG47)),AG47&lt;=0)),AND(AH47&lt;&gt;"",OR(NOT(ISNUMBER(AH47)),AH47&lt;0)),AND(ISNUMBER(AG47),ISNUMBER(AH47),AH47&gt;AG47)),"수량 확인",IF(AF47="완료",1,IF(AF47="미착수",0,IF(AND(ISNUMBER(AG47),ISNUMBER(AH47)),AH47/AG47,""))))</f>
        <v>1</v>
      </c>
      <c r="U47" s="30" t="n">
        <f aca="false">IF(T47="","",T47)</f>
        <v>1</v>
      </c>
      <c r="V47" s="30" t="n">
        <f aca="false">IF(OR(U47="",S47=""),"",U47-S47)</f>
        <v>0</v>
      </c>
      <c r="W47" s="32" t="str">
        <f aca="false">IF(AND(ISNUMBER($M47),W$5&gt;=$M47,W$5&lt;=IF($N47="",$L$1,$N47),WEEKDAY(W$5,2)&lt;6,COUNTIF(휴일!$A$2:$A$2,W$5)=0),2,IF(AND(ISNUMBER($K47),W$5&gt;=$K47,W$5&lt;=$L47,WEEKDAY(W$5,2)&lt;6,COUNTIF(휴일!$A$2:$A$2,W$5)=0),1,""))</f>
        <v/>
      </c>
      <c r="X47" s="32" t="str">
        <f aca="false">IF(AND(ISNUMBER($M47),X$5&gt;=$M47,X$5&lt;=IF($N47="",$L$1,$N47),WEEKDAY(X$5,2)&lt;6,COUNTIF(휴일!$A$2:$A$2,X$5)=0),2,IF(AND(ISNUMBER($K47),X$5&gt;=$K47,X$5&lt;=$L47,WEEKDAY(X$5,2)&lt;6,COUNTIF(휴일!$A$2:$A$2,X$5)=0),1,""))</f>
        <v/>
      </c>
      <c r="Y47" s="32" t="str">
        <f aca="false">IF(AND(ISNUMBER($M47),Y$5&gt;=$M47,Y$5&lt;=IF($N47="",$L$1,$N47),WEEKDAY(Y$5,2)&lt;6,COUNTIF(휴일!$A$2:$A$2,Y$5)=0),2,IF(AND(ISNUMBER($K47),Y$5&gt;=$K47,Y$5&lt;=$L47,WEEKDAY(Y$5,2)&lt;6,COUNTIF(휴일!$A$2:$A$2,Y$5)=0),1,""))</f>
        <v/>
      </c>
      <c r="Z47" s="33" t="str">
        <f aca="false">IF(AND(ISNUMBER($M47),Z$5&gt;=$M47,Z$5&lt;=IF($N47="",$L$1,$N47),WEEKDAY(Z$5,2)&lt;6,COUNTIF(휴일!$A$2:$A$2,Z$5)=0),2,IF(AND(ISNUMBER($K47),Z$5&gt;=$K47,Z$5&lt;=$L47,WEEKDAY(Z$5,2)&lt;6,COUNTIF(휴일!$A$2:$A$2,Z$5)=0),1,""))</f>
        <v/>
      </c>
      <c r="AA47" s="33" t="str">
        <f aca="false">IF(AND(ISNUMBER($M47),AA$5&gt;=$M47,AA$5&lt;=IF($N47="",$L$1,$N47),WEEKDAY(AA$5,2)&lt;6,COUNTIF(휴일!$A$2:$A$2,AA$5)=0),2,IF(AND(ISNUMBER($K47),AA$5&gt;=$K47,AA$5&lt;=$L47,WEEKDAY(AA$5,2)&lt;6,COUNTIF(휴일!$A$2:$A$2,AA$5)=0),1,""))</f>
        <v/>
      </c>
      <c r="AB47" s="33" t="str">
        <f aca="false">IF(AND(ISNUMBER($M47),AB$5&gt;=$M47,AB$5&lt;=IF($N47="",$L$1,$N47),WEEKDAY(AB$5,2)&lt;6,COUNTIF(휴일!$A$2:$A$2,AB$5)=0),2,IF(AND(ISNUMBER($K47),AB$5&gt;=$K47,AB$5&lt;=$L47,WEEKDAY(AB$5,2)&lt;6,COUNTIF(휴일!$A$2:$A$2,AB$5)=0),1,""))</f>
        <v/>
      </c>
      <c r="AC47" s="32" t="n">
        <f aca="false">IF(AND(ISNUMBER($M47),AC$5&gt;=$M47,AC$5&lt;=IF($N47="",$L$1,$N47),WEEKDAY(AC$5,2)&lt;6,COUNTIF(휴일!$A$2:$A$2,AC$5)=0),2,IF(AND(ISNUMBER($K47),AC$5&gt;=$K47,AC$5&lt;=$L47,WEEKDAY(AC$5,2)&lt;6,COUNTIF(휴일!$A$2:$A$2,AC$5)=0),1,""))</f>
        <v>2</v>
      </c>
      <c r="AD47" s="32" t="str">
        <f aca="false">IF(AND(ISNUMBER($M47),AD$5&gt;=$M47,AD$5&lt;=IF($N47="",$L$1,$N47),WEEKDAY(AD$5,2)&lt;6,COUNTIF(휴일!$A$2:$A$2,AD$5)=0),2,IF(AND(ISNUMBER($K47),AD$5&gt;=$K47,AD$5&lt;=$L47,WEEKDAY(AD$5,2)&lt;6,COUNTIF(휴일!$A$2:$A$2,AD$5)=0),1,""))</f>
        <v/>
      </c>
      <c r="AE47" s="32" t="str">
        <f aca="false">IF(AND(ISNUMBER($M47),AE$5&gt;=$M47,AE$5&lt;=IF($N47="",$L$1,$N47),WEEKDAY(AE$5,2)&lt;6,COUNTIF(휴일!$A$2:$A$2,AE$5)=0),2,IF(AND(ISNUMBER($K47),AE$5&gt;=$K47,AE$5&lt;=$L47,WEEKDAY(AE$5,2)&lt;6,COUNTIF(휴일!$A$2:$A$2,AE$5)=0),1,""))</f>
        <v/>
      </c>
      <c r="AF47" s="25" t="s">
        <v>36</v>
      </c>
      <c r="AG47" s="26"/>
      <c r="AH47" s="26"/>
    </row>
    <row r="48" customFormat="false" ht="69.75" hidden="false" customHeight="true" outlineLevel="0" collapsed="false">
      <c r="A48" s="2"/>
      <c r="B48" s="14"/>
      <c r="C48" s="14"/>
      <c r="D48" s="16"/>
      <c r="E48" s="16"/>
      <c r="F48" s="27" t="s">
        <v>123</v>
      </c>
      <c r="G48" s="27"/>
      <c r="H48" s="27" t="s">
        <v>34</v>
      </c>
      <c r="I48" s="27" t="s">
        <v>33</v>
      </c>
      <c r="J48" s="27" t="s">
        <v>124</v>
      </c>
      <c r="K48" s="28" t="n">
        <v>46307</v>
      </c>
      <c r="L48" s="28" t="n">
        <v>46307</v>
      </c>
      <c r="M48" s="34" t="n">
        <v>46307</v>
      </c>
      <c r="N48" s="34" t="n">
        <v>46307</v>
      </c>
      <c r="O48" s="29" t="n">
        <f aca="false">IF(OR(K48="",L48=""),"",IF(L48&lt;K48,"날짜 확인",NETWORKDAYS(K48,L48,휴일!$A$2:$A$2)))</f>
        <v>1</v>
      </c>
      <c r="P48" s="29" t="n">
        <f aca="false">IF(OR(M48="",N48=""),"",IF(N48&lt;M48,"날짜 확인",NETWORKDAYS(M48,N48,휴일!$A$2:$A$2)))</f>
        <v>1</v>
      </c>
      <c r="Q48" s="29" t="n">
        <f aca="false">IF(O48="","",IF($L$1&lt;K48,0,NETWORKDAYS(K48,MIN($L$1,L48),휴일!$A$2:$A$2)))</f>
        <v>1</v>
      </c>
      <c r="R48" s="29" t="n">
        <f aca="false">IF(M48="","",IF($L$1&lt;M48,0,NETWORKDAYS(M48,IF(N48="",$L$1,MIN($L$1,N48)),휴일!$A$2:$A$2)))</f>
        <v>1</v>
      </c>
      <c r="S48" s="30" t="n">
        <f aca="false">IF(O48="","",IF(O48=0,0,Q48/O48))</f>
        <v>1</v>
      </c>
      <c r="T48" s="31" t="n">
        <f aca="false">IF(OR(AND(AG48&lt;&gt;"",OR(NOT(ISNUMBER(AG48)),AG48&lt;=0)),AND(AH48&lt;&gt;"",OR(NOT(ISNUMBER(AH48)),AH48&lt;0)),AND(ISNUMBER(AG48),ISNUMBER(AH48),AH48&gt;AG48)),"수량 확인",IF(AF48="완료",1,IF(AF48="미착수",0,IF(AND(ISNUMBER(AG48),ISNUMBER(AH48)),AH48/AG48,""))))</f>
        <v>1</v>
      </c>
      <c r="U48" s="30" t="n">
        <f aca="false">IF(T48="","",T48)</f>
        <v>1</v>
      </c>
      <c r="V48" s="30" t="n">
        <f aca="false">IF(OR(U48="",S48=""),"",U48-S48)</f>
        <v>0</v>
      </c>
      <c r="W48" s="32" t="str">
        <f aca="false">IF(AND(ISNUMBER($M48),W$5&gt;=$M48,W$5&lt;=IF($N48="",$L$1,$N48),WEEKDAY(W$5,2)&lt;6,COUNTIF(휴일!$A$2:$A$2,W$5)=0),2,IF(AND(ISNUMBER($K48),W$5&gt;=$K48,W$5&lt;=$L48,WEEKDAY(W$5,2)&lt;6,COUNTIF(휴일!$A$2:$A$2,W$5)=0),1,""))</f>
        <v/>
      </c>
      <c r="X48" s="32" t="str">
        <f aca="false">IF(AND(ISNUMBER($M48),X$5&gt;=$M48,X$5&lt;=IF($N48="",$L$1,$N48),WEEKDAY(X$5,2)&lt;6,COUNTIF(휴일!$A$2:$A$2,X$5)=0),2,IF(AND(ISNUMBER($K48),X$5&gt;=$K48,X$5&lt;=$L48,WEEKDAY(X$5,2)&lt;6,COUNTIF(휴일!$A$2:$A$2,X$5)=0),1,""))</f>
        <v/>
      </c>
      <c r="Y48" s="32" t="str">
        <f aca="false">IF(AND(ISNUMBER($M48),Y$5&gt;=$M48,Y$5&lt;=IF($N48="",$L$1,$N48),WEEKDAY(Y$5,2)&lt;6,COUNTIF(휴일!$A$2:$A$2,Y$5)=0),2,IF(AND(ISNUMBER($K48),Y$5&gt;=$K48,Y$5&lt;=$L48,WEEKDAY(Y$5,2)&lt;6,COUNTIF(휴일!$A$2:$A$2,Y$5)=0),1,""))</f>
        <v/>
      </c>
      <c r="Z48" s="33" t="str">
        <f aca="false">IF(AND(ISNUMBER($M48),Z$5&gt;=$M48,Z$5&lt;=IF($N48="",$L$1,$N48),WEEKDAY(Z$5,2)&lt;6,COUNTIF(휴일!$A$2:$A$2,Z$5)=0),2,IF(AND(ISNUMBER($K48),Z$5&gt;=$K48,Z$5&lt;=$L48,WEEKDAY(Z$5,2)&lt;6,COUNTIF(휴일!$A$2:$A$2,Z$5)=0),1,""))</f>
        <v/>
      </c>
      <c r="AA48" s="33" t="str">
        <f aca="false">IF(AND(ISNUMBER($M48),AA$5&gt;=$M48,AA$5&lt;=IF($N48="",$L$1,$N48),WEEKDAY(AA$5,2)&lt;6,COUNTIF(휴일!$A$2:$A$2,AA$5)=0),2,IF(AND(ISNUMBER($K48),AA$5&gt;=$K48,AA$5&lt;=$L48,WEEKDAY(AA$5,2)&lt;6,COUNTIF(휴일!$A$2:$A$2,AA$5)=0),1,""))</f>
        <v/>
      </c>
      <c r="AB48" s="33" t="str">
        <f aca="false">IF(AND(ISNUMBER($M48),AB$5&gt;=$M48,AB$5&lt;=IF($N48="",$L$1,$N48),WEEKDAY(AB$5,2)&lt;6,COUNTIF(휴일!$A$2:$A$2,AB$5)=0),2,IF(AND(ISNUMBER($K48),AB$5&gt;=$K48,AB$5&lt;=$L48,WEEKDAY(AB$5,2)&lt;6,COUNTIF(휴일!$A$2:$A$2,AB$5)=0),1,""))</f>
        <v/>
      </c>
      <c r="AC48" s="32" t="n">
        <f aca="false">IF(AND(ISNUMBER($M48),AC$5&gt;=$M48,AC$5&lt;=IF($N48="",$L$1,$N48),WEEKDAY(AC$5,2)&lt;6,COUNTIF(휴일!$A$2:$A$2,AC$5)=0),2,IF(AND(ISNUMBER($K48),AC$5&gt;=$K48,AC$5&lt;=$L48,WEEKDAY(AC$5,2)&lt;6,COUNTIF(휴일!$A$2:$A$2,AC$5)=0),1,""))</f>
        <v>2</v>
      </c>
      <c r="AD48" s="32" t="str">
        <f aca="false">IF(AND(ISNUMBER($M48),AD$5&gt;=$M48,AD$5&lt;=IF($N48="",$L$1,$N48),WEEKDAY(AD$5,2)&lt;6,COUNTIF(휴일!$A$2:$A$2,AD$5)=0),2,IF(AND(ISNUMBER($K48),AD$5&gt;=$K48,AD$5&lt;=$L48,WEEKDAY(AD$5,2)&lt;6,COUNTIF(휴일!$A$2:$A$2,AD$5)=0),1,""))</f>
        <v/>
      </c>
      <c r="AE48" s="32" t="str">
        <f aca="false">IF(AND(ISNUMBER($M48),AE$5&gt;=$M48,AE$5&lt;=IF($N48="",$L$1,$N48),WEEKDAY(AE$5,2)&lt;6,COUNTIF(휴일!$A$2:$A$2,AE$5)=0),2,IF(AND(ISNUMBER($K48),AE$5&gt;=$K48,AE$5&lt;=$L48,WEEKDAY(AE$5,2)&lt;6,COUNTIF(휴일!$A$2:$A$2,AE$5)=0),1,""))</f>
        <v/>
      </c>
      <c r="AF48" s="25" t="s">
        <v>36</v>
      </c>
      <c r="AG48" s="26"/>
      <c r="AH48" s="26"/>
    </row>
    <row r="49" customFormat="false" ht="54" hidden="false" customHeight="true" outlineLevel="0" collapsed="false">
      <c r="A49" s="2"/>
      <c r="B49" s="14"/>
      <c r="C49" s="14"/>
      <c r="D49" s="16"/>
      <c r="E49" s="16"/>
      <c r="F49" s="27" t="s">
        <v>125</v>
      </c>
      <c r="G49" s="27"/>
      <c r="H49" s="27" t="s">
        <v>34</v>
      </c>
      <c r="I49" s="27" t="s">
        <v>33</v>
      </c>
      <c r="J49" s="27" t="s">
        <v>126</v>
      </c>
      <c r="K49" s="28" t="n">
        <v>46307</v>
      </c>
      <c r="L49" s="28" t="n">
        <v>46307</v>
      </c>
      <c r="M49" s="34" t="n">
        <v>46307</v>
      </c>
      <c r="N49" s="34" t="n">
        <v>46307</v>
      </c>
      <c r="O49" s="29" t="n">
        <f aca="false">IF(OR(K49="",L49=""),"",IF(L49&lt;K49,"날짜 확인",NETWORKDAYS(K49,L49,휴일!$A$2:$A$2)))</f>
        <v>1</v>
      </c>
      <c r="P49" s="29" t="n">
        <f aca="false">IF(OR(M49="",N49=""),"",IF(N49&lt;M49,"날짜 확인",NETWORKDAYS(M49,N49,휴일!$A$2:$A$2)))</f>
        <v>1</v>
      </c>
      <c r="Q49" s="29" t="n">
        <f aca="false">IF(O49="","",IF($L$1&lt;K49,0,NETWORKDAYS(K49,MIN($L$1,L49),휴일!$A$2:$A$2)))</f>
        <v>1</v>
      </c>
      <c r="R49" s="29" t="n">
        <f aca="false">IF(M49="","",IF($L$1&lt;M49,0,NETWORKDAYS(M49,IF(N49="",$L$1,MIN($L$1,N49)),휴일!$A$2:$A$2)))</f>
        <v>1</v>
      </c>
      <c r="S49" s="30" t="n">
        <f aca="false">IF(O49="","",IF(O49=0,0,Q49/O49))</f>
        <v>1</v>
      </c>
      <c r="T49" s="31" t="n">
        <f aca="false">IF(OR(AND(AG49&lt;&gt;"",OR(NOT(ISNUMBER(AG49)),AG49&lt;=0)),AND(AH49&lt;&gt;"",OR(NOT(ISNUMBER(AH49)),AH49&lt;0)),AND(ISNUMBER(AG49),ISNUMBER(AH49),AH49&gt;AG49)),"수량 확인",IF(AF49="완료",1,IF(AF49="미착수",0,IF(AND(ISNUMBER(AG49),ISNUMBER(AH49)),AH49/AG49,""))))</f>
        <v>1</v>
      </c>
      <c r="U49" s="30" t="n">
        <f aca="false">IF(T49="","",T49)</f>
        <v>1</v>
      </c>
      <c r="V49" s="30" t="n">
        <f aca="false">IF(OR(U49="",S49=""),"",U49-S49)</f>
        <v>0</v>
      </c>
      <c r="W49" s="32" t="str">
        <f aca="false">IF(AND(ISNUMBER($M49),W$5&gt;=$M49,W$5&lt;=IF($N49="",$L$1,$N49),WEEKDAY(W$5,2)&lt;6,COUNTIF(휴일!$A$2:$A$2,W$5)=0),2,IF(AND(ISNUMBER($K49),W$5&gt;=$K49,W$5&lt;=$L49,WEEKDAY(W$5,2)&lt;6,COUNTIF(휴일!$A$2:$A$2,W$5)=0),1,""))</f>
        <v/>
      </c>
      <c r="X49" s="32" t="str">
        <f aca="false">IF(AND(ISNUMBER($M49),X$5&gt;=$M49,X$5&lt;=IF($N49="",$L$1,$N49),WEEKDAY(X$5,2)&lt;6,COUNTIF(휴일!$A$2:$A$2,X$5)=0),2,IF(AND(ISNUMBER($K49),X$5&gt;=$K49,X$5&lt;=$L49,WEEKDAY(X$5,2)&lt;6,COUNTIF(휴일!$A$2:$A$2,X$5)=0),1,""))</f>
        <v/>
      </c>
      <c r="Y49" s="32" t="str">
        <f aca="false">IF(AND(ISNUMBER($M49),Y$5&gt;=$M49,Y$5&lt;=IF($N49="",$L$1,$N49),WEEKDAY(Y$5,2)&lt;6,COUNTIF(휴일!$A$2:$A$2,Y$5)=0),2,IF(AND(ISNUMBER($K49),Y$5&gt;=$K49,Y$5&lt;=$L49,WEEKDAY(Y$5,2)&lt;6,COUNTIF(휴일!$A$2:$A$2,Y$5)=0),1,""))</f>
        <v/>
      </c>
      <c r="Z49" s="33" t="str">
        <f aca="false">IF(AND(ISNUMBER($M49),Z$5&gt;=$M49,Z$5&lt;=IF($N49="",$L$1,$N49),WEEKDAY(Z$5,2)&lt;6,COUNTIF(휴일!$A$2:$A$2,Z$5)=0),2,IF(AND(ISNUMBER($K49),Z$5&gt;=$K49,Z$5&lt;=$L49,WEEKDAY(Z$5,2)&lt;6,COUNTIF(휴일!$A$2:$A$2,Z$5)=0),1,""))</f>
        <v/>
      </c>
      <c r="AA49" s="33" t="str">
        <f aca="false">IF(AND(ISNUMBER($M49),AA$5&gt;=$M49,AA$5&lt;=IF($N49="",$L$1,$N49),WEEKDAY(AA$5,2)&lt;6,COUNTIF(휴일!$A$2:$A$2,AA$5)=0),2,IF(AND(ISNUMBER($K49),AA$5&gt;=$K49,AA$5&lt;=$L49,WEEKDAY(AA$5,2)&lt;6,COUNTIF(휴일!$A$2:$A$2,AA$5)=0),1,""))</f>
        <v/>
      </c>
      <c r="AB49" s="33" t="str">
        <f aca="false">IF(AND(ISNUMBER($M49),AB$5&gt;=$M49,AB$5&lt;=IF($N49="",$L$1,$N49),WEEKDAY(AB$5,2)&lt;6,COUNTIF(휴일!$A$2:$A$2,AB$5)=0),2,IF(AND(ISNUMBER($K49),AB$5&gt;=$K49,AB$5&lt;=$L49,WEEKDAY(AB$5,2)&lt;6,COUNTIF(휴일!$A$2:$A$2,AB$5)=0),1,""))</f>
        <v/>
      </c>
      <c r="AC49" s="32" t="n">
        <f aca="false">IF(AND(ISNUMBER($M49),AC$5&gt;=$M49,AC$5&lt;=IF($N49="",$L$1,$N49),WEEKDAY(AC$5,2)&lt;6,COUNTIF(휴일!$A$2:$A$2,AC$5)=0),2,IF(AND(ISNUMBER($K49),AC$5&gt;=$K49,AC$5&lt;=$L49,WEEKDAY(AC$5,2)&lt;6,COUNTIF(휴일!$A$2:$A$2,AC$5)=0),1,""))</f>
        <v>2</v>
      </c>
      <c r="AD49" s="32" t="str">
        <f aca="false">IF(AND(ISNUMBER($M49),AD$5&gt;=$M49,AD$5&lt;=IF($N49="",$L$1,$N49),WEEKDAY(AD$5,2)&lt;6,COUNTIF(휴일!$A$2:$A$2,AD$5)=0),2,IF(AND(ISNUMBER($K49),AD$5&gt;=$K49,AD$5&lt;=$L49,WEEKDAY(AD$5,2)&lt;6,COUNTIF(휴일!$A$2:$A$2,AD$5)=0),1,""))</f>
        <v/>
      </c>
      <c r="AE49" s="32" t="str">
        <f aca="false">IF(AND(ISNUMBER($M49),AE$5&gt;=$M49,AE$5&lt;=IF($N49="",$L$1,$N49),WEEKDAY(AE$5,2)&lt;6,COUNTIF(휴일!$A$2:$A$2,AE$5)=0),2,IF(AND(ISNUMBER($K49),AE$5&gt;=$K49,AE$5&lt;=$L49,WEEKDAY(AE$5,2)&lt;6,COUNTIF(휴일!$A$2:$A$2,AE$5)=0),1,""))</f>
        <v/>
      </c>
      <c r="AF49" s="25" t="s">
        <v>36</v>
      </c>
      <c r="AG49" s="26"/>
      <c r="AH49" s="26"/>
    </row>
    <row r="50" customFormat="false" ht="54" hidden="false" customHeight="true" outlineLevel="0" collapsed="false">
      <c r="A50" s="2"/>
      <c r="B50" s="14"/>
      <c r="C50" s="14"/>
      <c r="D50" s="16"/>
      <c r="E50" s="16"/>
      <c r="F50" s="27" t="s">
        <v>127</v>
      </c>
      <c r="G50" s="27"/>
      <c r="H50" s="27" t="s">
        <v>33</v>
      </c>
      <c r="I50" s="27" t="s">
        <v>34</v>
      </c>
      <c r="J50" s="27" t="s">
        <v>128</v>
      </c>
      <c r="K50" s="28" t="n">
        <v>46307</v>
      </c>
      <c r="L50" s="28" t="n">
        <v>46307</v>
      </c>
      <c r="M50" s="34" t="n">
        <v>46307</v>
      </c>
      <c r="N50" s="34" t="n">
        <v>46307</v>
      </c>
      <c r="O50" s="29" t="n">
        <f aca="false">IF(OR(K50="",L50=""),"",IF(L50&lt;K50,"날짜 확인",NETWORKDAYS(K50,L50,휴일!$A$2:$A$2)))</f>
        <v>1</v>
      </c>
      <c r="P50" s="29" t="n">
        <f aca="false">IF(OR(M50="",N50=""),"",IF(N50&lt;M50,"날짜 확인",NETWORKDAYS(M50,N50,휴일!$A$2:$A$2)))</f>
        <v>1</v>
      </c>
      <c r="Q50" s="29" t="n">
        <f aca="false">IF(O50="","",IF($L$1&lt;K50,0,NETWORKDAYS(K50,MIN($L$1,L50),휴일!$A$2:$A$2)))</f>
        <v>1</v>
      </c>
      <c r="R50" s="29" t="n">
        <f aca="false">IF(M50="","",IF($L$1&lt;M50,0,NETWORKDAYS(M50,IF(N50="",$L$1,MIN($L$1,N50)),휴일!$A$2:$A$2)))</f>
        <v>1</v>
      </c>
      <c r="S50" s="30" t="n">
        <f aca="false">IF(O50="","",IF(O50=0,0,Q50/O50))</f>
        <v>1</v>
      </c>
      <c r="T50" s="31" t="n">
        <f aca="false">IF(OR(AND(AG50&lt;&gt;"",OR(NOT(ISNUMBER(AG50)),AG50&lt;=0)),AND(AH50&lt;&gt;"",OR(NOT(ISNUMBER(AH50)),AH50&lt;0)),AND(ISNUMBER(AG50),ISNUMBER(AH50),AH50&gt;AG50)),"수량 확인",IF(AF50="완료",1,IF(AF50="미착수",0,IF(AND(ISNUMBER(AG50),ISNUMBER(AH50)),AH50/AG50,""))))</f>
        <v>1</v>
      </c>
      <c r="U50" s="30" t="n">
        <f aca="false">IF(T50="","",T50)</f>
        <v>1</v>
      </c>
      <c r="V50" s="30" t="n">
        <f aca="false">IF(OR(U50="",S50=""),"",U50-S50)</f>
        <v>0</v>
      </c>
      <c r="W50" s="32" t="str">
        <f aca="false">IF(AND(ISNUMBER($M50),W$5&gt;=$M50,W$5&lt;=IF($N50="",$L$1,$N50),WEEKDAY(W$5,2)&lt;6,COUNTIF(휴일!$A$2:$A$2,W$5)=0),2,IF(AND(ISNUMBER($K50),W$5&gt;=$K50,W$5&lt;=$L50,WEEKDAY(W$5,2)&lt;6,COUNTIF(휴일!$A$2:$A$2,W$5)=0),1,""))</f>
        <v/>
      </c>
      <c r="X50" s="32" t="str">
        <f aca="false">IF(AND(ISNUMBER($M50),X$5&gt;=$M50,X$5&lt;=IF($N50="",$L$1,$N50),WEEKDAY(X$5,2)&lt;6,COUNTIF(휴일!$A$2:$A$2,X$5)=0),2,IF(AND(ISNUMBER($K50),X$5&gt;=$K50,X$5&lt;=$L50,WEEKDAY(X$5,2)&lt;6,COUNTIF(휴일!$A$2:$A$2,X$5)=0),1,""))</f>
        <v/>
      </c>
      <c r="Y50" s="32" t="str">
        <f aca="false">IF(AND(ISNUMBER($M50),Y$5&gt;=$M50,Y$5&lt;=IF($N50="",$L$1,$N50),WEEKDAY(Y$5,2)&lt;6,COUNTIF(휴일!$A$2:$A$2,Y$5)=0),2,IF(AND(ISNUMBER($K50),Y$5&gt;=$K50,Y$5&lt;=$L50,WEEKDAY(Y$5,2)&lt;6,COUNTIF(휴일!$A$2:$A$2,Y$5)=0),1,""))</f>
        <v/>
      </c>
      <c r="Z50" s="33" t="str">
        <f aca="false">IF(AND(ISNUMBER($M50),Z$5&gt;=$M50,Z$5&lt;=IF($N50="",$L$1,$N50),WEEKDAY(Z$5,2)&lt;6,COUNTIF(휴일!$A$2:$A$2,Z$5)=0),2,IF(AND(ISNUMBER($K50),Z$5&gt;=$K50,Z$5&lt;=$L50,WEEKDAY(Z$5,2)&lt;6,COUNTIF(휴일!$A$2:$A$2,Z$5)=0),1,""))</f>
        <v/>
      </c>
      <c r="AA50" s="33" t="str">
        <f aca="false">IF(AND(ISNUMBER($M50),AA$5&gt;=$M50,AA$5&lt;=IF($N50="",$L$1,$N50),WEEKDAY(AA$5,2)&lt;6,COUNTIF(휴일!$A$2:$A$2,AA$5)=0),2,IF(AND(ISNUMBER($K50),AA$5&gt;=$K50,AA$5&lt;=$L50,WEEKDAY(AA$5,2)&lt;6,COUNTIF(휴일!$A$2:$A$2,AA$5)=0),1,""))</f>
        <v/>
      </c>
      <c r="AB50" s="33" t="str">
        <f aca="false">IF(AND(ISNUMBER($M50),AB$5&gt;=$M50,AB$5&lt;=IF($N50="",$L$1,$N50),WEEKDAY(AB$5,2)&lt;6,COUNTIF(휴일!$A$2:$A$2,AB$5)=0),2,IF(AND(ISNUMBER($K50),AB$5&gt;=$K50,AB$5&lt;=$L50,WEEKDAY(AB$5,2)&lt;6,COUNTIF(휴일!$A$2:$A$2,AB$5)=0),1,""))</f>
        <v/>
      </c>
      <c r="AC50" s="32" t="n">
        <f aca="false">IF(AND(ISNUMBER($M50),AC$5&gt;=$M50,AC$5&lt;=IF($N50="",$L$1,$N50),WEEKDAY(AC$5,2)&lt;6,COUNTIF(휴일!$A$2:$A$2,AC$5)=0),2,IF(AND(ISNUMBER($K50),AC$5&gt;=$K50,AC$5&lt;=$L50,WEEKDAY(AC$5,2)&lt;6,COUNTIF(휴일!$A$2:$A$2,AC$5)=0),1,""))</f>
        <v>2</v>
      </c>
      <c r="AD50" s="32" t="str">
        <f aca="false">IF(AND(ISNUMBER($M50),AD$5&gt;=$M50,AD$5&lt;=IF($N50="",$L$1,$N50),WEEKDAY(AD$5,2)&lt;6,COUNTIF(휴일!$A$2:$A$2,AD$5)=0),2,IF(AND(ISNUMBER($K50),AD$5&gt;=$K50,AD$5&lt;=$L50,WEEKDAY(AD$5,2)&lt;6,COUNTIF(휴일!$A$2:$A$2,AD$5)=0),1,""))</f>
        <v/>
      </c>
      <c r="AE50" s="32" t="str">
        <f aca="false">IF(AND(ISNUMBER($M50),AE$5&gt;=$M50,AE$5&lt;=IF($N50="",$L$1,$N50),WEEKDAY(AE$5,2)&lt;6,COUNTIF(휴일!$A$2:$A$2,AE$5)=0),2,IF(AND(ISNUMBER($K50),AE$5&gt;=$K50,AE$5&lt;=$L50,WEEKDAY(AE$5,2)&lt;6,COUNTIF(휴일!$A$2:$A$2,AE$5)=0),1,""))</f>
        <v/>
      </c>
      <c r="AF50" s="25" t="s">
        <v>36</v>
      </c>
      <c r="AG50" s="26"/>
      <c r="AH50" s="26"/>
    </row>
    <row r="51" customFormat="false" ht="69.75" hidden="false" customHeight="true" outlineLevel="0" collapsed="false">
      <c r="A51" s="2"/>
      <c r="B51" s="14"/>
      <c r="C51" s="14"/>
      <c r="D51" s="16"/>
      <c r="E51" s="16"/>
      <c r="F51" s="27" t="s">
        <v>129</v>
      </c>
      <c r="G51" s="27"/>
      <c r="H51" s="27" t="s">
        <v>34</v>
      </c>
      <c r="I51" s="27" t="s">
        <v>33</v>
      </c>
      <c r="J51" s="27" t="s">
        <v>130</v>
      </c>
      <c r="K51" s="28" t="n">
        <v>46307</v>
      </c>
      <c r="L51" s="28" t="n">
        <v>46307</v>
      </c>
      <c r="M51" s="34" t="n">
        <v>46307</v>
      </c>
      <c r="N51" s="34" t="n">
        <v>46307</v>
      </c>
      <c r="O51" s="29" t="n">
        <f aca="false">IF(OR(K51="",L51=""),"",IF(L51&lt;K51,"날짜 확인",NETWORKDAYS(K51,L51,휴일!$A$2:$A$2)))</f>
        <v>1</v>
      </c>
      <c r="P51" s="29" t="n">
        <f aca="false">IF(OR(M51="",N51=""),"",IF(N51&lt;M51,"날짜 확인",NETWORKDAYS(M51,N51,휴일!$A$2:$A$2)))</f>
        <v>1</v>
      </c>
      <c r="Q51" s="29" t="n">
        <f aca="false">IF(O51="","",IF($L$1&lt;K51,0,NETWORKDAYS(K51,MIN($L$1,L51),휴일!$A$2:$A$2)))</f>
        <v>1</v>
      </c>
      <c r="R51" s="29" t="n">
        <f aca="false">IF(M51="","",IF($L$1&lt;M51,0,NETWORKDAYS(M51,IF(N51="",$L$1,MIN($L$1,N51)),휴일!$A$2:$A$2)))</f>
        <v>1</v>
      </c>
      <c r="S51" s="30" t="n">
        <f aca="false">IF(O51="","",IF(O51=0,0,Q51/O51))</f>
        <v>1</v>
      </c>
      <c r="T51" s="31" t="n">
        <f aca="false">IF(OR(AND(AG51&lt;&gt;"",OR(NOT(ISNUMBER(AG51)),AG51&lt;=0)),AND(AH51&lt;&gt;"",OR(NOT(ISNUMBER(AH51)),AH51&lt;0)),AND(ISNUMBER(AG51),ISNUMBER(AH51),AH51&gt;AG51)),"수량 확인",IF(AF51="완료",1,IF(AF51="미착수",0,IF(AND(ISNUMBER(AG51),ISNUMBER(AH51)),AH51/AG51,""))))</f>
        <v>1</v>
      </c>
      <c r="U51" s="30" t="n">
        <f aca="false">IF(T51="","",T51)</f>
        <v>1</v>
      </c>
      <c r="V51" s="30" t="n">
        <f aca="false">IF(OR(U51="",S51=""),"",U51-S51)</f>
        <v>0</v>
      </c>
      <c r="W51" s="32" t="str">
        <f aca="false">IF(AND(ISNUMBER($M51),W$5&gt;=$M51,W$5&lt;=IF($N51="",$L$1,$N51),WEEKDAY(W$5,2)&lt;6,COUNTIF(휴일!$A$2:$A$2,W$5)=0),2,IF(AND(ISNUMBER($K51),W$5&gt;=$K51,W$5&lt;=$L51,WEEKDAY(W$5,2)&lt;6,COUNTIF(휴일!$A$2:$A$2,W$5)=0),1,""))</f>
        <v/>
      </c>
      <c r="X51" s="32" t="str">
        <f aca="false">IF(AND(ISNUMBER($M51),X$5&gt;=$M51,X$5&lt;=IF($N51="",$L$1,$N51),WEEKDAY(X$5,2)&lt;6,COUNTIF(휴일!$A$2:$A$2,X$5)=0),2,IF(AND(ISNUMBER($K51),X$5&gt;=$K51,X$5&lt;=$L51,WEEKDAY(X$5,2)&lt;6,COUNTIF(휴일!$A$2:$A$2,X$5)=0),1,""))</f>
        <v/>
      </c>
      <c r="Y51" s="32" t="str">
        <f aca="false">IF(AND(ISNUMBER($M51),Y$5&gt;=$M51,Y$5&lt;=IF($N51="",$L$1,$N51),WEEKDAY(Y$5,2)&lt;6,COUNTIF(휴일!$A$2:$A$2,Y$5)=0),2,IF(AND(ISNUMBER($K51),Y$5&gt;=$K51,Y$5&lt;=$L51,WEEKDAY(Y$5,2)&lt;6,COUNTIF(휴일!$A$2:$A$2,Y$5)=0),1,""))</f>
        <v/>
      </c>
      <c r="Z51" s="33" t="str">
        <f aca="false">IF(AND(ISNUMBER($M51),Z$5&gt;=$M51,Z$5&lt;=IF($N51="",$L$1,$N51),WEEKDAY(Z$5,2)&lt;6,COUNTIF(휴일!$A$2:$A$2,Z$5)=0),2,IF(AND(ISNUMBER($K51),Z$5&gt;=$K51,Z$5&lt;=$L51,WEEKDAY(Z$5,2)&lt;6,COUNTIF(휴일!$A$2:$A$2,Z$5)=0),1,""))</f>
        <v/>
      </c>
      <c r="AA51" s="33" t="str">
        <f aca="false">IF(AND(ISNUMBER($M51),AA$5&gt;=$M51,AA$5&lt;=IF($N51="",$L$1,$N51),WEEKDAY(AA$5,2)&lt;6,COUNTIF(휴일!$A$2:$A$2,AA$5)=0),2,IF(AND(ISNUMBER($K51),AA$5&gt;=$K51,AA$5&lt;=$L51,WEEKDAY(AA$5,2)&lt;6,COUNTIF(휴일!$A$2:$A$2,AA$5)=0),1,""))</f>
        <v/>
      </c>
      <c r="AB51" s="33" t="str">
        <f aca="false">IF(AND(ISNUMBER($M51),AB$5&gt;=$M51,AB$5&lt;=IF($N51="",$L$1,$N51),WEEKDAY(AB$5,2)&lt;6,COUNTIF(휴일!$A$2:$A$2,AB$5)=0),2,IF(AND(ISNUMBER($K51),AB$5&gt;=$K51,AB$5&lt;=$L51,WEEKDAY(AB$5,2)&lt;6,COUNTIF(휴일!$A$2:$A$2,AB$5)=0),1,""))</f>
        <v/>
      </c>
      <c r="AC51" s="32" t="n">
        <f aca="false">IF(AND(ISNUMBER($M51),AC$5&gt;=$M51,AC$5&lt;=IF($N51="",$L$1,$N51),WEEKDAY(AC$5,2)&lt;6,COUNTIF(휴일!$A$2:$A$2,AC$5)=0),2,IF(AND(ISNUMBER($K51),AC$5&gt;=$K51,AC$5&lt;=$L51,WEEKDAY(AC$5,2)&lt;6,COUNTIF(휴일!$A$2:$A$2,AC$5)=0),1,""))</f>
        <v>2</v>
      </c>
      <c r="AD51" s="32" t="str">
        <f aca="false">IF(AND(ISNUMBER($M51),AD$5&gt;=$M51,AD$5&lt;=IF($N51="",$L$1,$N51),WEEKDAY(AD$5,2)&lt;6,COUNTIF(휴일!$A$2:$A$2,AD$5)=0),2,IF(AND(ISNUMBER($K51),AD$5&gt;=$K51,AD$5&lt;=$L51,WEEKDAY(AD$5,2)&lt;6,COUNTIF(휴일!$A$2:$A$2,AD$5)=0),1,""))</f>
        <v/>
      </c>
      <c r="AE51" s="32" t="str">
        <f aca="false">IF(AND(ISNUMBER($M51),AE$5&gt;=$M51,AE$5&lt;=IF($N51="",$L$1,$N51),WEEKDAY(AE$5,2)&lt;6,COUNTIF(휴일!$A$2:$A$2,AE$5)=0),2,IF(AND(ISNUMBER($K51),AE$5&gt;=$K51,AE$5&lt;=$L51,WEEKDAY(AE$5,2)&lt;6,COUNTIF(휴일!$A$2:$A$2,AE$5)=0),1,""))</f>
        <v/>
      </c>
      <c r="AF51" s="25" t="s">
        <v>36</v>
      </c>
      <c r="AG51" s="26"/>
      <c r="AH51" s="26"/>
    </row>
    <row r="52" customFormat="false" ht="54" hidden="false" customHeight="true" outlineLevel="0" collapsed="false">
      <c r="A52" s="2"/>
      <c r="B52" s="14"/>
      <c r="C52" s="14"/>
      <c r="D52" s="16"/>
      <c r="E52" s="16"/>
      <c r="F52" s="27" t="s">
        <v>131</v>
      </c>
      <c r="G52" s="27"/>
      <c r="H52" s="27" t="s">
        <v>33</v>
      </c>
      <c r="I52" s="27" t="s">
        <v>34</v>
      </c>
      <c r="J52" s="27" t="s">
        <v>132</v>
      </c>
      <c r="K52" s="28" t="n">
        <v>46307</v>
      </c>
      <c r="L52" s="28" t="n">
        <v>46307</v>
      </c>
      <c r="M52" s="34" t="n">
        <v>46307</v>
      </c>
      <c r="N52" s="34" t="n">
        <v>46307</v>
      </c>
      <c r="O52" s="29" t="n">
        <f aca="false">IF(OR(K52="",L52=""),"",IF(L52&lt;K52,"날짜 확인",NETWORKDAYS(K52,L52,휴일!$A$2:$A$2)))</f>
        <v>1</v>
      </c>
      <c r="P52" s="29" t="n">
        <f aca="false">IF(OR(M52="",N52=""),"",IF(N52&lt;M52,"날짜 확인",NETWORKDAYS(M52,N52,휴일!$A$2:$A$2)))</f>
        <v>1</v>
      </c>
      <c r="Q52" s="29" t="n">
        <f aca="false">IF(O52="","",IF($L$1&lt;K52,0,NETWORKDAYS(K52,MIN($L$1,L52),휴일!$A$2:$A$2)))</f>
        <v>1</v>
      </c>
      <c r="R52" s="29" t="n">
        <f aca="false">IF(M52="","",IF($L$1&lt;M52,0,NETWORKDAYS(M52,IF(N52="",$L$1,MIN($L$1,N52)),휴일!$A$2:$A$2)))</f>
        <v>1</v>
      </c>
      <c r="S52" s="30" t="n">
        <f aca="false">IF(O52="","",IF(O52=0,0,Q52/O52))</f>
        <v>1</v>
      </c>
      <c r="T52" s="31" t="n">
        <f aca="false">IF(OR(AND(AG52&lt;&gt;"",OR(NOT(ISNUMBER(AG52)),AG52&lt;=0)),AND(AH52&lt;&gt;"",OR(NOT(ISNUMBER(AH52)),AH52&lt;0)),AND(ISNUMBER(AG52),ISNUMBER(AH52),AH52&gt;AG52)),"수량 확인",IF(AF52="완료",1,IF(AF52="미착수",0,IF(AND(ISNUMBER(AG52),ISNUMBER(AH52)),AH52/AG52,""))))</f>
        <v>1</v>
      </c>
      <c r="U52" s="30" t="n">
        <f aca="false">IF(T52="","",T52)</f>
        <v>1</v>
      </c>
      <c r="V52" s="30" t="n">
        <f aca="false">IF(OR(U52="",S52=""),"",U52-S52)</f>
        <v>0</v>
      </c>
      <c r="W52" s="32" t="str">
        <f aca="false">IF(AND(ISNUMBER($M52),W$5&gt;=$M52,W$5&lt;=IF($N52="",$L$1,$N52),WEEKDAY(W$5,2)&lt;6,COUNTIF(휴일!$A$2:$A$2,W$5)=0),2,IF(AND(ISNUMBER($K52),W$5&gt;=$K52,W$5&lt;=$L52,WEEKDAY(W$5,2)&lt;6,COUNTIF(휴일!$A$2:$A$2,W$5)=0),1,""))</f>
        <v/>
      </c>
      <c r="X52" s="32" t="str">
        <f aca="false">IF(AND(ISNUMBER($M52),X$5&gt;=$M52,X$5&lt;=IF($N52="",$L$1,$N52),WEEKDAY(X$5,2)&lt;6,COUNTIF(휴일!$A$2:$A$2,X$5)=0),2,IF(AND(ISNUMBER($K52),X$5&gt;=$K52,X$5&lt;=$L52,WEEKDAY(X$5,2)&lt;6,COUNTIF(휴일!$A$2:$A$2,X$5)=0),1,""))</f>
        <v/>
      </c>
      <c r="Y52" s="32" t="str">
        <f aca="false">IF(AND(ISNUMBER($M52),Y$5&gt;=$M52,Y$5&lt;=IF($N52="",$L$1,$N52),WEEKDAY(Y$5,2)&lt;6,COUNTIF(휴일!$A$2:$A$2,Y$5)=0),2,IF(AND(ISNUMBER($K52),Y$5&gt;=$K52,Y$5&lt;=$L52,WEEKDAY(Y$5,2)&lt;6,COUNTIF(휴일!$A$2:$A$2,Y$5)=0),1,""))</f>
        <v/>
      </c>
      <c r="Z52" s="33" t="str">
        <f aca="false">IF(AND(ISNUMBER($M52),Z$5&gt;=$M52,Z$5&lt;=IF($N52="",$L$1,$N52),WEEKDAY(Z$5,2)&lt;6,COUNTIF(휴일!$A$2:$A$2,Z$5)=0),2,IF(AND(ISNUMBER($K52),Z$5&gt;=$K52,Z$5&lt;=$L52,WEEKDAY(Z$5,2)&lt;6,COUNTIF(휴일!$A$2:$A$2,Z$5)=0),1,""))</f>
        <v/>
      </c>
      <c r="AA52" s="33" t="str">
        <f aca="false">IF(AND(ISNUMBER($M52),AA$5&gt;=$M52,AA$5&lt;=IF($N52="",$L$1,$N52),WEEKDAY(AA$5,2)&lt;6,COUNTIF(휴일!$A$2:$A$2,AA$5)=0),2,IF(AND(ISNUMBER($K52),AA$5&gt;=$K52,AA$5&lt;=$L52,WEEKDAY(AA$5,2)&lt;6,COUNTIF(휴일!$A$2:$A$2,AA$5)=0),1,""))</f>
        <v/>
      </c>
      <c r="AB52" s="33" t="str">
        <f aca="false">IF(AND(ISNUMBER($M52),AB$5&gt;=$M52,AB$5&lt;=IF($N52="",$L$1,$N52),WEEKDAY(AB$5,2)&lt;6,COUNTIF(휴일!$A$2:$A$2,AB$5)=0),2,IF(AND(ISNUMBER($K52),AB$5&gt;=$K52,AB$5&lt;=$L52,WEEKDAY(AB$5,2)&lt;6,COUNTIF(휴일!$A$2:$A$2,AB$5)=0),1,""))</f>
        <v/>
      </c>
      <c r="AC52" s="32" t="n">
        <f aca="false">IF(AND(ISNUMBER($M52),AC$5&gt;=$M52,AC$5&lt;=IF($N52="",$L$1,$N52),WEEKDAY(AC$5,2)&lt;6,COUNTIF(휴일!$A$2:$A$2,AC$5)=0),2,IF(AND(ISNUMBER($K52),AC$5&gt;=$K52,AC$5&lt;=$L52,WEEKDAY(AC$5,2)&lt;6,COUNTIF(휴일!$A$2:$A$2,AC$5)=0),1,""))</f>
        <v>2</v>
      </c>
      <c r="AD52" s="32" t="str">
        <f aca="false">IF(AND(ISNUMBER($M52),AD$5&gt;=$M52,AD$5&lt;=IF($N52="",$L$1,$N52),WEEKDAY(AD$5,2)&lt;6,COUNTIF(휴일!$A$2:$A$2,AD$5)=0),2,IF(AND(ISNUMBER($K52),AD$5&gt;=$K52,AD$5&lt;=$L52,WEEKDAY(AD$5,2)&lt;6,COUNTIF(휴일!$A$2:$A$2,AD$5)=0),1,""))</f>
        <v/>
      </c>
      <c r="AE52" s="32" t="str">
        <f aca="false">IF(AND(ISNUMBER($M52),AE$5&gt;=$M52,AE$5&lt;=IF($N52="",$L$1,$N52),WEEKDAY(AE$5,2)&lt;6,COUNTIF(휴일!$A$2:$A$2,AE$5)=0),2,IF(AND(ISNUMBER($K52),AE$5&gt;=$K52,AE$5&lt;=$L52,WEEKDAY(AE$5,2)&lt;6,COUNTIF(휴일!$A$2:$A$2,AE$5)=0),1,""))</f>
        <v/>
      </c>
      <c r="AF52" s="25" t="s">
        <v>36</v>
      </c>
      <c r="AG52" s="26"/>
      <c r="AH52" s="26"/>
    </row>
    <row r="53" customFormat="false" ht="90" hidden="false" customHeight="true" outlineLevel="0" collapsed="false">
      <c r="A53" s="2"/>
      <c r="B53" s="14"/>
      <c r="C53" s="14"/>
      <c r="D53" s="16"/>
      <c r="E53" s="16"/>
      <c r="F53" s="27" t="s">
        <v>133</v>
      </c>
      <c r="G53" s="27"/>
      <c r="H53" s="27" t="s">
        <v>34</v>
      </c>
      <c r="I53" s="27" t="s">
        <v>33</v>
      </c>
      <c r="J53" s="27" t="s">
        <v>134</v>
      </c>
      <c r="K53" s="28" t="n">
        <v>46307</v>
      </c>
      <c r="L53" s="28" t="n">
        <v>46307</v>
      </c>
      <c r="M53" s="34" t="n">
        <v>46307</v>
      </c>
      <c r="N53" s="34" t="n">
        <v>46307</v>
      </c>
      <c r="O53" s="29" t="n">
        <f aca="false">IF(OR(K53="",L53=""),"",IF(L53&lt;K53,"날짜 확인",NETWORKDAYS(K53,L53,휴일!$A$2:$A$2)))</f>
        <v>1</v>
      </c>
      <c r="P53" s="29" t="n">
        <f aca="false">IF(OR(M53="",N53=""),"",IF(N53&lt;M53,"날짜 확인",NETWORKDAYS(M53,N53,휴일!$A$2:$A$2)))</f>
        <v>1</v>
      </c>
      <c r="Q53" s="29" t="n">
        <f aca="false">IF(O53="","",IF($L$1&lt;K53,0,NETWORKDAYS(K53,MIN($L$1,L53),휴일!$A$2:$A$2)))</f>
        <v>1</v>
      </c>
      <c r="R53" s="29" t="n">
        <f aca="false">IF(M53="","",IF($L$1&lt;M53,0,NETWORKDAYS(M53,IF(N53="",$L$1,MIN($L$1,N53)),휴일!$A$2:$A$2)))</f>
        <v>1</v>
      </c>
      <c r="S53" s="30" t="n">
        <f aca="false">IF(O53="","",IF(O53=0,0,Q53/O53))</f>
        <v>1</v>
      </c>
      <c r="T53" s="31" t="n">
        <f aca="false">IF(OR(AND(AG53&lt;&gt;"",OR(NOT(ISNUMBER(AG53)),AG53&lt;=0)),AND(AH53&lt;&gt;"",OR(NOT(ISNUMBER(AH53)),AH53&lt;0)),AND(ISNUMBER(AG53),ISNUMBER(AH53),AH53&gt;AG53)),"수량 확인",IF(AF53="완료",1,IF(AF53="미착수",0,IF(AND(ISNUMBER(AG53),ISNUMBER(AH53)),AH53/AG53,""))))</f>
        <v>1</v>
      </c>
      <c r="U53" s="30" t="n">
        <f aca="false">IF(T53="","",T53)</f>
        <v>1</v>
      </c>
      <c r="V53" s="30" t="n">
        <f aca="false">IF(OR(U53="",S53=""),"",U53-S53)</f>
        <v>0</v>
      </c>
      <c r="W53" s="32" t="str">
        <f aca="false">IF(AND(ISNUMBER($M53),W$5&gt;=$M53,W$5&lt;=IF($N53="",$L$1,$N53),WEEKDAY(W$5,2)&lt;6,COUNTIF(휴일!$A$2:$A$2,W$5)=0),2,IF(AND(ISNUMBER($K53),W$5&gt;=$K53,W$5&lt;=$L53,WEEKDAY(W$5,2)&lt;6,COUNTIF(휴일!$A$2:$A$2,W$5)=0),1,""))</f>
        <v/>
      </c>
      <c r="X53" s="32" t="str">
        <f aca="false">IF(AND(ISNUMBER($M53),X$5&gt;=$M53,X$5&lt;=IF($N53="",$L$1,$N53),WEEKDAY(X$5,2)&lt;6,COUNTIF(휴일!$A$2:$A$2,X$5)=0),2,IF(AND(ISNUMBER($K53),X$5&gt;=$K53,X$5&lt;=$L53,WEEKDAY(X$5,2)&lt;6,COUNTIF(휴일!$A$2:$A$2,X$5)=0),1,""))</f>
        <v/>
      </c>
      <c r="Y53" s="32" t="str">
        <f aca="false">IF(AND(ISNUMBER($M53),Y$5&gt;=$M53,Y$5&lt;=IF($N53="",$L$1,$N53),WEEKDAY(Y$5,2)&lt;6,COUNTIF(휴일!$A$2:$A$2,Y$5)=0),2,IF(AND(ISNUMBER($K53),Y$5&gt;=$K53,Y$5&lt;=$L53,WEEKDAY(Y$5,2)&lt;6,COUNTIF(휴일!$A$2:$A$2,Y$5)=0),1,""))</f>
        <v/>
      </c>
      <c r="Z53" s="33" t="str">
        <f aca="false">IF(AND(ISNUMBER($M53),Z$5&gt;=$M53,Z$5&lt;=IF($N53="",$L$1,$N53),WEEKDAY(Z$5,2)&lt;6,COUNTIF(휴일!$A$2:$A$2,Z$5)=0),2,IF(AND(ISNUMBER($K53),Z$5&gt;=$K53,Z$5&lt;=$L53,WEEKDAY(Z$5,2)&lt;6,COUNTIF(휴일!$A$2:$A$2,Z$5)=0),1,""))</f>
        <v/>
      </c>
      <c r="AA53" s="33" t="str">
        <f aca="false">IF(AND(ISNUMBER($M53),AA$5&gt;=$M53,AA$5&lt;=IF($N53="",$L$1,$N53),WEEKDAY(AA$5,2)&lt;6,COUNTIF(휴일!$A$2:$A$2,AA$5)=0),2,IF(AND(ISNUMBER($K53),AA$5&gt;=$K53,AA$5&lt;=$L53,WEEKDAY(AA$5,2)&lt;6,COUNTIF(휴일!$A$2:$A$2,AA$5)=0),1,""))</f>
        <v/>
      </c>
      <c r="AB53" s="33" t="str">
        <f aca="false">IF(AND(ISNUMBER($M53),AB$5&gt;=$M53,AB$5&lt;=IF($N53="",$L$1,$N53),WEEKDAY(AB$5,2)&lt;6,COUNTIF(휴일!$A$2:$A$2,AB$5)=0),2,IF(AND(ISNUMBER($K53),AB$5&gt;=$K53,AB$5&lt;=$L53,WEEKDAY(AB$5,2)&lt;6,COUNTIF(휴일!$A$2:$A$2,AB$5)=0),1,""))</f>
        <v/>
      </c>
      <c r="AC53" s="32" t="n">
        <f aca="false">IF(AND(ISNUMBER($M53),AC$5&gt;=$M53,AC$5&lt;=IF($N53="",$L$1,$N53),WEEKDAY(AC$5,2)&lt;6,COUNTIF(휴일!$A$2:$A$2,AC$5)=0),2,IF(AND(ISNUMBER($K53),AC$5&gt;=$K53,AC$5&lt;=$L53,WEEKDAY(AC$5,2)&lt;6,COUNTIF(휴일!$A$2:$A$2,AC$5)=0),1,""))</f>
        <v>2</v>
      </c>
      <c r="AD53" s="32" t="str">
        <f aca="false">IF(AND(ISNUMBER($M53),AD$5&gt;=$M53,AD$5&lt;=IF($N53="",$L$1,$N53),WEEKDAY(AD$5,2)&lt;6,COUNTIF(휴일!$A$2:$A$2,AD$5)=0),2,IF(AND(ISNUMBER($K53),AD$5&gt;=$K53,AD$5&lt;=$L53,WEEKDAY(AD$5,2)&lt;6,COUNTIF(휴일!$A$2:$A$2,AD$5)=0),1,""))</f>
        <v/>
      </c>
      <c r="AE53" s="32" t="str">
        <f aca="false">IF(AND(ISNUMBER($M53),AE$5&gt;=$M53,AE$5&lt;=IF($N53="",$L$1,$N53),WEEKDAY(AE$5,2)&lt;6,COUNTIF(휴일!$A$2:$A$2,AE$5)=0),2,IF(AND(ISNUMBER($K53),AE$5&gt;=$K53,AE$5&lt;=$L53,WEEKDAY(AE$5,2)&lt;6,COUNTIF(휴일!$A$2:$A$2,AE$5)=0),1,""))</f>
        <v/>
      </c>
      <c r="AF53" s="25" t="s">
        <v>36</v>
      </c>
      <c r="AG53" s="26"/>
      <c r="AH53" s="26"/>
    </row>
    <row r="54" customFormat="false" ht="54" hidden="false" customHeight="true" outlineLevel="0" collapsed="false">
      <c r="A54" s="2"/>
      <c r="B54" s="14"/>
      <c r="C54" s="14"/>
      <c r="D54" s="16"/>
      <c r="E54" s="16"/>
      <c r="F54" s="27" t="s">
        <v>135</v>
      </c>
      <c r="G54" s="27"/>
      <c r="H54" s="27" t="s">
        <v>33</v>
      </c>
      <c r="I54" s="27" t="s">
        <v>34</v>
      </c>
      <c r="J54" s="27" t="s">
        <v>136</v>
      </c>
      <c r="K54" s="28" t="n">
        <v>46307</v>
      </c>
      <c r="L54" s="28" t="n">
        <v>46307</v>
      </c>
      <c r="M54" s="34" t="n">
        <v>46307</v>
      </c>
      <c r="N54" s="34" t="n">
        <v>46307</v>
      </c>
      <c r="O54" s="29" t="n">
        <f aca="false">IF(OR(K54="",L54=""),"",IF(L54&lt;K54,"날짜 확인",NETWORKDAYS(K54,L54,휴일!$A$2:$A$2)))</f>
        <v>1</v>
      </c>
      <c r="P54" s="29" t="n">
        <f aca="false">IF(OR(M54="",N54=""),"",IF(N54&lt;M54,"날짜 확인",NETWORKDAYS(M54,N54,휴일!$A$2:$A$2)))</f>
        <v>1</v>
      </c>
      <c r="Q54" s="29" t="n">
        <f aca="false">IF(O54="","",IF($L$1&lt;K54,0,NETWORKDAYS(K54,MIN($L$1,L54),휴일!$A$2:$A$2)))</f>
        <v>1</v>
      </c>
      <c r="R54" s="29" t="n">
        <f aca="false">IF(M54="","",IF($L$1&lt;M54,0,NETWORKDAYS(M54,IF(N54="",$L$1,MIN($L$1,N54)),휴일!$A$2:$A$2)))</f>
        <v>1</v>
      </c>
      <c r="S54" s="30" t="n">
        <f aca="false">IF(O54="","",IF(O54=0,0,Q54/O54))</f>
        <v>1</v>
      </c>
      <c r="T54" s="31" t="n">
        <f aca="false">IF(OR(AND(AG54&lt;&gt;"",OR(NOT(ISNUMBER(AG54)),AG54&lt;=0)),AND(AH54&lt;&gt;"",OR(NOT(ISNUMBER(AH54)),AH54&lt;0)),AND(ISNUMBER(AG54),ISNUMBER(AH54),AH54&gt;AG54)),"수량 확인",IF(AF54="완료",1,IF(AF54="미착수",0,IF(AND(ISNUMBER(AG54),ISNUMBER(AH54)),AH54/AG54,""))))</f>
        <v>1</v>
      </c>
      <c r="U54" s="30" t="n">
        <f aca="false">IF(T54="","",T54)</f>
        <v>1</v>
      </c>
      <c r="V54" s="30" t="n">
        <f aca="false">IF(OR(U54="",S54=""),"",U54-S54)</f>
        <v>0</v>
      </c>
      <c r="W54" s="32" t="str">
        <f aca="false">IF(AND(ISNUMBER($M54),W$5&gt;=$M54,W$5&lt;=IF($N54="",$L$1,$N54),WEEKDAY(W$5,2)&lt;6,COUNTIF(휴일!$A$2:$A$2,W$5)=0),2,IF(AND(ISNUMBER($K54),W$5&gt;=$K54,W$5&lt;=$L54,WEEKDAY(W$5,2)&lt;6,COUNTIF(휴일!$A$2:$A$2,W$5)=0),1,""))</f>
        <v/>
      </c>
      <c r="X54" s="32" t="str">
        <f aca="false">IF(AND(ISNUMBER($M54),X$5&gt;=$M54,X$5&lt;=IF($N54="",$L$1,$N54),WEEKDAY(X$5,2)&lt;6,COUNTIF(휴일!$A$2:$A$2,X$5)=0),2,IF(AND(ISNUMBER($K54),X$5&gt;=$K54,X$5&lt;=$L54,WEEKDAY(X$5,2)&lt;6,COUNTIF(휴일!$A$2:$A$2,X$5)=0),1,""))</f>
        <v/>
      </c>
      <c r="Y54" s="32" t="str">
        <f aca="false">IF(AND(ISNUMBER($M54),Y$5&gt;=$M54,Y$5&lt;=IF($N54="",$L$1,$N54),WEEKDAY(Y$5,2)&lt;6,COUNTIF(휴일!$A$2:$A$2,Y$5)=0),2,IF(AND(ISNUMBER($K54),Y$5&gt;=$K54,Y$5&lt;=$L54,WEEKDAY(Y$5,2)&lt;6,COUNTIF(휴일!$A$2:$A$2,Y$5)=0),1,""))</f>
        <v/>
      </c>
      <c r="Z54" s="33" t="str">
        <f aca="false">IF(AND(ISNUMBER($M54),Z$5&gt;=$M54,Z$5&lt;=IF($N54="",$L$1,$N54),WEEKDAY(Z$5,2)&lt;6,COUNTIF(휴일!$A$2:$A$2,Z$5)=0),2,IF(AND(ISNUMBER($K54),Z$5&gt;=$K54,Z$5&lt;=$L54,WEEKDAY(Z$5,2)&lt;6,COUNTIF(휴일!$A$2:$A$2,Z$5)=0),1,""))</f>
        <v/>
      </c>
      <c r="AA54" s="33" t="str">
        <f aca="false">IF(AND(ISNUMBER($M54),AA$5&gt;=$M54,AA$5&lt;=IF($N54="",$L$1,$N54),WEEKDAY(AA$5,2)&lt;6,COUNTIF(휴일!$A$2:$A$2,AA$5)=0),2,IF(AND(ISNUMBER($K54),AA$5&gt;=$K54,AA$5&lt;=$L54,WEEKDAY(AA$5,2)&lt;6,COUNTIF(휴일!$A$2:$A$2,AA$5)=0),1,""))</f>
        <v/>
      </c>
      <c r="AB54" s="33" t="str">
        <f aca="false">IF(AND(ISNUMBER($M54),AB$5&gt;=$M54,AB$5&lt;=IF($N54="",$L$1,$N54),WEEKDAY(AB$5,2)&lt;6,COUNTIF(휴일!$A$2:$A$2,AB$5)=0),2,IF(AND(ISNUMBER($K54),AB$5&gt;=$K54,AB$5&lt;=$L54,WEEKDAY(AB$5,2)&lt;6,COUNTIF(휴일!$A$2:$A$2,AB$5)=0),1,""))</f>
        <v/>
      </c>
      <c r="AC54" s="32" t="n">
        <f aca="false">IF(AND(ISNUMBER($M54),AC$5&gt;=$M54,AC$5&lt;=IF($N54="",$L$1,$N54),WEEKDAY(AC$5,2)&lt;6,COUNTIF(휴일!$A$2:$A$2,AC$5)=0),2,IF(AND(ISNUMBER($K54),AC$5&gt;=$K54,AC$5&lt;=$L54,WEEKDAY(AC$5,2)&lt;6,COUNTIF(휴일!$A$2:$A$2,AC$5)=0),1,""))</f>
        <v>2</v>
      </c>
      <c r="AD54" s="32" t="str">
        <f aca="false">IF(AND(ISNUMBER($M54),AD$5&gt;=$M54,AD$5&lt;=IF($N54="",$L$1,$N54),WEEKDAY(AD$5,2)&lt;6,COUNTIF(휴일!$A$2:$A$2,AD$5)=0),2,IF(AND(ISNUMBER($K54),AD$5&gt;=$K54,AD$5&lt;=$L54,WEEKDAY(AD$5,2)&lt;6,COUNTIF(휴일!$A$2:$A$2,AD$5)=0),1,""))</f>
        <v/>
      </c>
      <c r="AE54" s="32" t="str">
        <f aca="false">IF(AND(ISNUMBER($M54),AE$5&gt;=$M54,AE$5&lt;=IF($N54="",$L$1,$N54),WEEKDAY(AE$5,2)&lt;6,COUNTIF(휴일!$A$2:$A$2,AE$5)=0),2,IF(AND(ISNUMBER($K54),AE$5&gt;=$K54,AE$5&lt;=$L54,WEEKDAY(AE$5,2)&lt;6,COUNTIF(휴일!$A$2:$A$2,AE$5)=0),1,""))</f>
        <v/>
      </c>
      <c r="AF54" s="25" t="s">
        <v>36</v>
      </c>
      <c r="AG54" s="26"/>
      <c r="AH54" s="26"/>
    </row>
    <row r="55" customFormat="false" ht="54" hidden="false" customHeight="true" outlineLevel="0" collapsed="false">
      <c r="A55" s="2"/>
      <c r="B55" s="14"/>
      <c r="C55" s="14"/>
      <c r="D55" s="16"/>
      <c r="E55" s="16"/>
      <c r="F55" s="27" t="s">
        <v>137</v>
      </c>
      <c r="G55" s="27"/>
      <c r="H55" s="27" t="s">
        <v>33</v>
      </c>
      <c r="I55" s="27" t="s">
        <v>34</v>
      </c>
      <c r="J55" s="27" t="s">
        <v>138</v>
      </c>
      <c r="K55" s="28" t="n">
        <v>46307</v>
      </c>
      <c r="L55" s="28" t="n">
        <v>46307</v>
      </c>
      <c r="M55" s="34" t="n">
        <v>46307</v>
      </c>
      <c r="N55" s="34" t="n">
        <v>46307</v>
      </c>
      <c r="O55" s="29" t="n">
        <f aca="false">IF(OR(K55="",L55=""),"",IF(L55&lt;K55,"날짜 확인",NETWORKDAYS(K55,L55,휴일!$A$2:$A$2)))</f>
        <v>1</v>
      </c>
      <c r="P55" s="29" t="n">
        <f aca="false">IF(OR(M55="",N55=""),"",IF(N55&lt;M55,"날짜 확인",NETWORKDAYS(M55,N55,휴일!$A$2:$A$2)))</f>
        <v>1</v>
      </c>
      <c r="Q55" s="29" t="n">
        <f aca="false">IF(O55="","",IF($L$1&lt;K55,0,NETWORKDAYS(K55,MIN($L$1,L55),휴일!$A$2:$A$2)))</f>
        <v>1</v>
      </c>
      <c r="R55" s="29" t="n">
        <f aca="false">IF(M55="","",IF($L$1&lt;M55,0,NETWORKDAYS(M55,IF(N55="",$L$1,MIN($L$1,N55)),휴일!$A$2:$A$2)))</f>
        <v>1</v>
      </c>
      <c r="S55" s="30" t="n">
        <f aca="false">IF(O55="","",IF(O55=0,0,Q55/O55))</f>
        <v>1</v>
      </c>
      <c r="T55" s="31" t="n">
        <f aca="false">IF(OR(AND(AG55&lt;&gt;"",OR(NOT(ISNUMBER(AG55)),AG55&lt;=0)),AND(AH55&lt;&gt;"",OR(NOT(ISNUMBER(AH55)),AH55&lt;0)),AND(ISNUMBER(AG55),ISNUMBER(AH55),AH55&gt;AG55)),"수량 확인",IF(AF55="완료",1,IF(AF55="미착수",0,IF(AND(ISNUMBER(AG55),ISNUMBER(AH55)),AH55/AG55,""))))</f>
        <v>1</v>
      </c>
      <c r="U55" s="30" t="n">
        <f aca="false">IF(T55="","",T55)</f>
        <v>1</v>
      </c>
      <c r="V55" s="30" t="n">
        <f aca="false">IF(OR(U55="",S55=""),"",U55-S55)</f>
        <v>0</v>
      </c>
      <c r="W55" s="32" t="str">
        <f aca="false">IF(AND(ISNUMBER($M55),W$5&gt;=$M55,W$5&lt;=IF($N55="",$L$1,$N55),WEEKDAY(W$5,2)&lt;6,COUNTIF(휴일!$A$2:$A$2,W$5)=0),2,IF(AND(ISNUMBER($K55),W$5&gt;=$K55,W$5&lt;=$L55,WEEKDAY(W$5,2)&lt;6,COUNTIF(휴일!$A$2:$A$2,W$5)=0),1,""))</f>
        <v/>
      </c>
      <c r="X55" s="32" t="str">
        <f aca="false">IF(AND(ISNUMBER($M55),X$5&gt;=$M55,X$5&lt;=IF($N55="",$L$1,$N55),WEEKDAY(X$5,2)&lt;6,COUNTIF(휴일!$A$2:$A$2,X$5)=0),2,IF(AND(ISNUMBER($K55),X$5&gt;=$K55,X$5&lt;=$L55,WEEKDAY(X$5,2)&lt;6,COUNTIF(휴일!$A$2:$A$2,X$5)=0),1,""))</f>
        <v/>
      </c>
      <c r="Y55" s="32" t="str">
        <f aca="false">IF(AND(ISNUMBER($M55),Y$5&gt;=$M55,Y$5&lt;=IF($N55="",$L$1,$N55),WEEKDAY(Y$5,2)&lt;6,COUNTIF(휴일!$A$2:$A$2,Y$5)=0),2,IF(AND(ISNUMBER($K55),Y$5&gt;=$K55,Y$5&lt;=$L55,WEEKDAY(Y$5,2)&lt;6,COUNTIF(휴일!$A$2:$A$2,Y$5)=0),1,""))</f>
        <v/>
      </c>
      <c r="Z55" s="33" t="str">
        <f aca="false">IF(AND(ISNUMBER($M55),Z$5&gt;=$M55,Z$5&lt;=IF($N55="",$L$1,$N55),WEEKDAY(Z$5,2)&lt;6,COUNTIF(휴일!$A$2:$A$2,Z$5)=0),2,IF(AND(ISNUMBER($K55),Z$5&gt;=$K55,Z$5&lt;=$L55,WEEKDAY(Z$5,2)&lt;6,COUNTIF(휴일!$A$2:$A$2,Z$5)=0),1,""))</f>
        <v/>
      </c>
      <c r="AA55" s="33" t="str">
        <f aca="false">IF(AND(ISNUMBER($M55),AA$5&gt;=$M55,AA$5&lt;=IF($N55="",$L$1,$N55),WEEKDAY(AA$5,2)&lt;6,COUNTIF(휴일!$A$2:$A$2,AA$5)=0),2,IF(AND(ISNUMBER($K55),AA$5&gt;=$K55,AA$5&lt;=$L55,WEEKDAY(AA$5,2)&lt;6,COUNTIF(휴일!$A$2:$A$2,AA$5)=0),1,""))</f>
        <v/>
      </c>
      <c r="AB55" s="33" t="str">
        <f aca="false">IF(AND(ISNUMBER($M55),AB$5&gt;=$M55,AB$5&lt;=IF($N55="",$L$1,$N55),WEEKDAY(AB$5,2)&lt;6,COUNTIF(휴일!$A$2:$A$2,AB$5)=0),2,IF(AND(ISNUMBER($K55),AB$5&gt;=$K55,AB$5&lt;=$L55,WEEKDAY(AB$5,2)&lt;6,COUNTIF(휴일!$A$2:$A$2,AB$5)=0),1,""))</f>
        <v/>
      </c>
      <c r="AC55" s="32" t="n">
        <f aca="false">IF(AND(ISNUMBER($M55),AC$5&gt;=$M55,AC$5&lt;=IF($N55="",$L$1,$N55),WEEKDAY(AC$5,2)&lt;6,COUNTIF(휴일!$A$2:$A$2,AC$5)=0),2,IF(AND(ISNUMBER($K55),AC$5&gt;=$K55,AC$5&lt;=$L55,WEEKDAY(AC$5,2)&lt;6,COUNTIF(휴일!$A$2:$A$2,AC$5)=0),1,""))</f>
        <v>2</v>
      </c>
      <c r="AD55" s="32" t="str">
        <f aca="false">IF(AND(ISNUMBER($M55),AD$5&gt;=$M55,AD$5&lt;=IF($N55="",$L$1,$N55),WEEKDAY(AD$5,2)&lt;6,COUNTIF(휴일!$A$2:$A$2,AD$5)=0),2,IF(AND(ISNUMBER($K55),AD$5&gt;=$K55,AD$5&lt;=$L55,WEEKDAY(AD$5,2)&lt;6,COUNTIF(휴일!$A$2:$A$2,AD$5)=0),1,""))</f>
        <v/>
      </c>
      <c r="AE55" s="32" t="str">
        <f aca="false">IF(AND(ISNUMBER($M55),AE$5&gt;=$M55,AE$5&lt;=IF($N55="",$L$1,$N55),WEEKDAY(AE$5,2)&lt;6,COUNTIF(휴일!$A$2:$A$2,AE$5)=0),2,IF(AND(ISNUMBER($K55),AE$5&gt;=$K55,AE$5&lt;=$L55,WEEKDAY(AE$5,2)&lt;6,COUNTIF(휴일!$A$2:$A$2,AE$5)=0),1,""))</f>
        <v/>
      </c>
      <c r="AF55" s="25" t="s">
        <v>36</v>
      </c>
      <c r="AG55" s="26"/>
      <c r="AH55" s="26"/>
    </row>
    <row r="56" customFormat="false" ht="54" hidden="false" customHeight="true" outlineLevel="0" collapsed="false">
      <c r="A56" s="2"/>
      <c r="B56" s="14"/>
      <c r="C56" s="14"/>
      <c r="D56" s="16"/>
      <c r="E56" s="16"/>
      <c r="F56" s="27" t="s">
        <v>139</v>
      </c>
      <c r="G56" s="27"/>
      <c r="H56" s="27" t="s">
        <v>34</v>
      </c>
      <c r="I56" s="27" t="s">
        <v>33</v>
      </c>
      <c r="J56" s="27" t="s">
        <v>140</v>
      </c>
      <c r="K56" s="28" t="n">
        <v>46307</v>
      </c>
      <c r="L56" s="28" t="n">
        <v>46307</v>
      </c>
      <c r="M56" s="34" t="n">
        <v>46307</v>
      </c>
      <c r="N56" s="34" t="n">
        <v>46307</v>
      </c>
      <c r="O56" s="29" t="n">
        <f aca="false">IF(OR(K56="",L56=""),"",IF(L56&lt;K56,"날짜 확인",NETWORKDAYS(K56,L56,휴일!$A$2:$A$2)))</f>
        <v>1</v>
      </c>
      <c r="P56" s="29" t="n">
        <f aca="false">IF(OR(M56="",N56=""),"",IF(N56&lt;M56,"날짜 확인",NETWORKDAYS(M56,N56,휴일!$A$2:$A$2)))</f>
        <v>1</v>
      </c>
      <c r="Q56" s="29" t="n">
        <f aca="false">IF(O56="","",IF($L$1&lt;K56,0,NETWORKDAYS(K56,MIN($L$1,L56),휴일!$A$2:$A$2)))</f>
        <v>1</v>
      </c>
      <c r="R56" s="29" t="n">
        <f aca="false">IF(M56="","",IF($L$1&lt;M56,0,NETWORKDAYS(M56,IF(N56="",$L$1,MIN($L$1,N56)),휴일!$A$2:$A$2)))</f>
        <v>1</v>
      </c>
      <c r="S56" s="30" t="n">
        <f aca="false">IF(O56="","",IF(O56=0,0,Q56/O56))</f>
        <v>1</v>
      </c>
      <c r="T56" s="31" t="n">
        <f aca="false">IF(OR(AND(AG56&lt;&gt;"",OR(NOT(ISNUMBER(AG56)),AG56&lt;=0)),AND(AH56&lt;&gt;"",OR(NOT(ISNUMBER(AH56)),AH56&lt;0)),AND(ISNUMBER(AG56),ISNUMBER(AH56),AH56&gt;AG56)),"수량 확인",IF(AF56="완료",1,IF(AF56="미착수",0,IF(AND(ISNUMBER(AG56),ISNUMBER(AH56)),AH56/AG56,""))))</f>
        <v>1</v>
      </c>
      <c r="U56" s="30" t="n">
        <f aca="false">IF(T56="","",T56)</f>
        <v>1</v>
      </c>
      <c r="V56" s="30" t="n">
        <f aca="false">IF(OR(U56="",S56=""),"",U56-S56)</f>
        <v>0</v>
      </c>
      <c r="W56" s="32" t="str">
        <f aca="false">IF(AND(ISNUMBER($M56),W$5&gt;=$M56,W$5&lt;=IF($N56="",$L$1,$N56),WEEKDAY(W$5,2)&lt;6,COUNTIF(휴일!$A$2:$A$2,W$5)=0),2,IF(AND(ISNUMBER($K56),W$5&gt;=$K56,W$5&lt;=$L56,WEEKDAY(W$5,2)&lt;6,COUNTIF(휴일!$A$2:$A$2,W$5)=0),1,""))</f>
        <v/>
      </c>
      <c r="X56" s="32" t="str">
        <f aca="false">IF(AND(ISNUMBER($M56),X$5&gt;=$M56,X$5&lt;=IF($N56="",$L$1,$N56),WEEKDAY(X$5,2)&lt;6,COUNTIF(휴일!$A$2:$A$2,X$5)=0),2,IF(AND(ISNUMBER($K56),X$5&gt;=$K56,X$5&lt;=$L56,WEEKDAY(X$5,2)&lt;6,COUNTIF(휴일!$A$2:$A$2,X$5)=0),1,""))</f>
        <v/>
      </c>
      <c r="Y56" s="32" t="str">
        <f aca="false">IF(AND(ISNUMBER($M56),Y$5&gt;=$M56,Y$5&lt;=IF($N56="",$L$1,$N56),WEEKDAY(Y$5,2)&lt;6,COUNTIF(휴일!$A$2:$A$2,Y$5)=0),2,IF(AND(ISNUMBER($K56),Y$5&gt;=$K56,Y$5&lt;=$L56,WEEKDAY(Y$5,2)&lt;6,COUNTIF(휴일!$A$2:$A$2,Y$5)=0),1,""))</f>
        <v/>
      </c>
      <c r="Z56" s="33" t="str">
        <f aca="false">IF(AND(ISNUMBER($M56),Z$5&gt;=$M56,Z$5&lt;=IF($N56="",$L$1,$N56),WEEKDAY(Z$5,2)&lt;6,COUNTIF(휴일!$A$2:$A$2,Z$5)=0),2,IF(AND(ISNUMBER($K56),Z$5&gt;=$K56,Z$5&lt;=$L56,WEEKDAY(Z$5,2)&lt;6,COUNTIF(휴일!$A$2:$A$2,Z$5)=0),1,""))</f>
        <v/>
      </c>
      <c r="AA56" s="33" t="str">
        <f aca="false">IF(AND(ISNUMBER($M56),AA$5&gt;=$M56,AA$5&lt;=IF($N56="",$L$1,$N56),WEEKDAY(AA$5,2)&lt;6,COUNTIF(휴일!$A$2:$A$2,AA$5)=0),2,IF(AND(ISNUMBER($K56),AA$5&gt;=$K56,AA$5&lt;=$L56,WEEKDAY(AA$5,2)&lt;6,COUNTIF(휴일!$A$2:$A$2,AA$5)=0),1,""))</f>
        <v/>
      </c>
      <c r="AB56" s="33" t="str">
        <f aca="false">IF(AND(ISNUMBER($M56),AB$5&gt;=$M56,AB$5&lt;=IF($N56="",$L$1,$N56),WEEKDAY(AB$5,2)&lt;6,COUNTIF(휴일!$A$2:$A$2,AB$5)=0),2,IF(AND(ISNUMBER($K56),AB$5&gt;=$K56,AB$5&lt;=$L56,WEEKDAY(AB$5,2)&lt;6,COUNTIF(휴일!$A$2:$A$2,AB$5)=0),1,""))</f>
        <v/>
      </c>
      <c r="AC56" s="32" t="n">
        <f aca="false">IF(AND(ISNUMBER($M56),AC$5&gt;=$M56,AC$5&lt;=IF($N56="",$L$1,$N56),WEEKDAY(AC$5,2)&lt;6,COUNTIF(휴일!$A$2:$A$2,AC$5)=0),2,IF(AND(ISNUMBER($K56),AC$5&gt;=$K56,AC$5&lt;=$L56,WEEKDAY(AC$5,2)&lt;6,COUNTIF(휴일!$A$2:$A$2,AC$5)=0),1,""))</f>
        <v>2</v>
      </c>
      <c r="AD56" s="32" t="str">
        <f aca="false">IF(AND(ISNUMBER($M56),AD$5&gt;=$M56,AD$5&lt;=IF($N56="",$L$1,$N56),WEEKDAY(AD$5,2)&lt;6,COUNTIF(휴일!$A$2:$A$2,AD$5)=0),2,IF(AND(ISNUMBER($K56),AD$5&gt;=$K56,AD$5&lt;=$L56,WEEKDAY(AD$5,2)&lt;6,COUNTIF(휴일!$A$2:$A$2,AD$5)=0),1,""))</f>
        <v/>
      </c>
      <c r="AE56" s="32" t="str">
        <f aca="false">IF(AND(ISNUMBER($M56),AE$5&gt;=$M56,AE$5&lt;=IF($N56="",$L$1,$N56),WEEKDAY(AE$5,2)&lt;6,COUNTIF(휴일!$A$2:$A$2,AE$5)=0),2,IF(AND(ISNUMBER($K56),AE$5&gt;=$K56,AE$5&lt;=$L56,WEEKDAY(AE$5,2)&lt;6,COUNTIF(휴일!$A$2:$A$2,AE$5)=0),1,""))</f>
        <v/>
      </c>
      <c r="AF56" s="25" t="s">
        <v>36</v>
      </c>
      <c r="AG56" s="26"/>
      <c r="AH56" s="26"/>
    </row>
    <row r="57" customFormat="false" ht="69.75" hidden="false" customHeight="true" outlineLevel="0" collapsed="false">
      <c r="A57" s="2"/>
      <c r="B57" s="14"/>
      <c r="C57" s="14"/>
      <c r="D57" s="16"/>
      <c r="E57" s="16"/>
      <c r="F57" s="27" t="s">
        <v>141</v>
      </c>
      <c r="G57" s="27"/>
      <c r="H57" s="27" t="s">
        <v>33</v>
      </c>
      <c r="I57" s="27" t="s">
        <v>34</v>
      </c>
      <c r="J57" s="27" t="s">
        <v>142</v>
      </c>
      <c r="K57" s="28" t="n">
        <v>46307</v>
      </c>
      <c r="L57" s="28" t="n">
        <v>46307</v>
      </c>
      <c r="M57" s="34" t="n">
        <v>46307</v>
      </c>
      <c r="N57" s="34" t="n">
        <v>46307</v>
      </c>
      <c r="O57" s="29" t="n">
        <f aca="false">IF(OR(K57="",L57=""),"",IF(L57&lt;K57,"날짜 확인",NETWORKDAYS(K57,L57,휴일!$A$2:$A$2)))</f>
        <v>1</v>
      </c>
      <c r="P57" s="29" t="n">
        <f aca="false">IF(OR(M57="",N57=""),"",IF(N57&lt;M57,"날짜 확인",NETWORKDAYS(M57,N57,휴일!$A$2:$A$2)))</f>
        <v>1</v>
      </c>
      <c r="Q57" s="29" t="n">
        <f aca="false">IF(O57="","",IF($L$1&lt;K57,0,NETWORKDAYS(K57,MIN($L$1,L57),휴일!$A$2:$A$2)))</f>
        <v>1</v>
      </c>
      <c r="R57" s="29" t="n">
        <f aca="false">IF(M57="","",IF($L$1&lt;M57,0,NETWORKDAYS(M57,IF(N57="",$L$1,MIN($L$1,N57)),휴일!$A$2:$A$2)))</f>
        <v>1</v>
      </c>
      <c r="S57" s="30" t="n">
        <f aca="false">IF(O57="","",IF(O57=0,0,Q57/O57))</f>
        <v>1</v>
      </c>
      <c r="T57" s="31" t="n">
        <f aca="false">IF(OR(AND(AG57&lt;&gt;"",OR(NOT(ISNUMBER(AG57)),AG57&lt;=0)),AND(AH57&lt;&gt;"",OR(NOT(ISNUMBER(AH57)),AH57&lt;0)),AND(ISNUMBER(AG57),ISNUMBER(AH57),AH57&gt;AG57)),"수량 확인",IF(AF57="완료",1,IF(AF57="미착수",0,IF(AND(ISNUMBER(AG57),ISNUMBER(AH57)),AH57/AG57,""))))</f>
        <v>1</v>
      </c>
      <c r="U57" s="30" t="n">
        <f aca="false">IF(T57="","",T57)</f>
        <v>1</v>
      </c>
      <c r="V57" s="30" t="n">
        <f aca="false">IF(OR(U57="",S57=""),"",U57-S57)</f>
        <v>0</v>
      </c>
      <c r="W57" s="32" t="str">
        <f aca="false">IF(AND(ISNUMBER($M57),W$5&gt;=$M57,W$5&lt;=IF($N57="",$L$1,$N57),WEEKDAY(W$5,2)&lt;6,COUNTIF(휴일!$A$2:$A$2,W$5)=0),2,IF(AND(ISNUMBER($K57),W$5&gt;=$K57,W$5&lt;=$L57,WEEKDAY(W$5,2)&lt;6,COUNTIF(휴일!$A$2:$A$2,W$5)=0),1,""))</f>
        <v/>
      </c>
      <c r="X57" s="32" t="str">
        <f aca="false">IF(AND(ISNUMBER($M57),X$5&gt;=$M57,X$5&lt;=IF($N57="",$L$1,$N57),WEEKDAY(X$5,2)&lt;6,COUNTIF(휴일!$A$2:$A$2,X$5)=0),2,IF(AND(ISNUMBER($K57),X$5&gt;=$K57,X$5&lt;=$L57,WEEKDAY(X$5,2)&lt;6,COUNTIF(휴일!$A$2:$A$2,X$5)=0),1,""))</f>
        <v/>
      </c>
      <c r="Y57" s="32" t="str">
        <f aca="false">IF(AND(ISNUMBER($M57),Y$5&gt;=$M57,Y$5&lt;=IF($N57="",$L$1,$N57),WEEKDAY(Y$5,2)&lt;6,COUNTIF(휴일!$A$2:$A$2,Y$5)=0),2,IF(AND(ISNUMBER($K57),Y$5&gt;=$K57,Y$5&lt;=$L57,WEEKDAY(Y$5,2)&lt;6,COUNTIF(휴일!$A$2:$A$2,Y$5)=0),1,""))</f>
        <v/>
      </c>
      <c r="Z57" s="33" t="str">
        <f aca="false">IF(AND(ISNUMBER($M57),Z$5&gt;=$M57,Z$5&lt;=IF($N57="",$L$1,$N57),WEEKDAY(Z$5,2)&lt;6,COUNTIF(휴일!$A$2:$A$2,Z$5)=0),2,IF(AND(ISNUMBER($K57),Z$5&gt;=$K57,Z$5&lt;=$L57,WEEKDAY(Z$5,2)&lt;6,COUNTIF(휴일!$A$2:$A$2,Z$5)=0),1,""))</f>
        <v/>
      </c>
      <c r="AA57" s="33" t="str">
        <f aca="false">IF(AND(ISNUMBER($M57),AA$5&gt;=$M57,AA$5&lt;=IF($N57="",$L$1,$N57),WEEKDAY(AA$5,2)&lt;6,COUNTIF(휴일!$A$2:$A$2,AA$5)=0),2,IF(AND(ISNUMBER($K57),AA$5&gt;=$K57,AA$5&lt;=$L57,WEEKDAY(AA$5,2)&lt;6,COUNTIF(휴일!$A$2:$A$2,AA$5)=0),1,""))</f>
        <v/>
      </c>
      <c r="AB57" s="33" t="str">
        <f aca="false">IF(AND(ISNUMBER($M57),AB$5&gt;=$M57,AB$5&lt;=IF($N57="",$L$1,$N57),WEEKDAY(AB$5,2)&lt;6,COUNTIF(휴일!$A$2:$A$2,AB$5)=0),2,IF(AND(ISNUMBER($K57),AB$5&gt;=$K57,AB$5&lt;=$L57,WEEKDAY(AB$5,2)&lt;6,COUNTIF(휴일!$A$2:$A$2,AB$5)=0),1,""))</f>
        <v/>
      </c>
      <c r="AC57" s="32" t="n">
        <f aca="false">IF(AND(ISNUMBER($M57),AC$5&gt;=$M57,AC$5&lt;=IF($N57="",$L$1,$N57),WEEKDAY(AC$5,2)&lt;6,COUNTIF(휴일!$A$2:$A$2,AC$5)=0),2,IF(AND(ISNUMBER($K57),AC$5&gt;=$K57,AC$5&lt;=$L57,WEEKDAY(AC$5,2)&lt;6,COUNTIF(휴일!$A$2:$A$2,AC$5)=0),1,""))</f>
        <v>2</v>
      </c>
      <c r="AD57" s="32" t="str">
        <f aca="false">IF(AND(ISNUMBER($M57),AD$5&gt;=$M57,AD$5&lt;=IF($N57="",$L$1,$N57),WEEKDAY(AD$5,2)&lt;6,COUNTIF(휴일!$A$2:$A$2,AD$5)=0),2,IF(AND(ISNUMBER($K57),AD$5&gt;=$K57,AD$5&lt;=$L57,WEEKDAY(AD$5,2)&lt;6,COUNTIF(휴일!$A$2:$A$2,AD$5)=0),1,""))</f>
        <v/>
      </c>
      <c r="AE57" s="32" t="str">
        <f aca="false">IF(AND(ISNUMBER($M57),AE$5&gt;=$M57,AE$5&lt;=IF($N57="",$L$1,$N57),WEEKDAY(AE$5,2)&lt;6,COUNTIF(휴일!$A$2:$A$2,AE$5)=0),2,IF(AND(ISNUMBER($K57),AE$5&gt;=$K57,AE$5&lt;=$L57,WEEKDAY(AE$5,2)&lt;6,COUNTIF(휴일!$A$2:$A$2,AE$5)=0),1,""))</f>
        <v/>
      </c>
      <c r="AF57" s="25" t="s">
        <v>36</v>
      </c>
      <c r="AG57" s="26"/>
      <c r="AH57" s="26"/>
    </row>
    <row r="58" customFormat="false" ht="54" hidden="false" customHeight="true" outlineLevel="0" collapsed="false">
      <c r="A58" s="2"/>
      <c r="B58" s="14"/>
      <c r="C58" s="14"/>
      <c r="D58" s="16"/>
      <c r="E58" s="16"/>
      <c r="F58" s="27" t="s">
        <v>143</v>
      </c>
      <c r="G58" s="27"/>
      <c r="H58" s="27" t="s">
        <v>34</v>
      </c>
      <c r="I58" s="27" t="s">
        <v>33</v>
      </c>
      <c r="J58" s="27" t="s">
        <v>144</v>
      </c>
      <c r="K58" s="28" t="n">
        <v>46307</v>
      </c>
      <c r="L58" s="28" t="n">
        <v>46307</v>
      </c>
      <c r="M58" s="34" t="n">
        <v>46307</v>
      </c>
      <c r="N58" s="34" t="n">
        <v>46307</v>
      </c>
      <c r="O58" s="29" t="n">
        <f aca="false">IF(OR(K58="",L58=""),"",IF(L58&lt;K58,"날짜 확인",NETWORKDAYS(K58,L58,휴일!$A$2:$A$2)))</f>
        <v>1</v>
      </c>
      <c r="P58" s="29" t="n">
        <f aca="false">IF(OR(M58="",N58=""),"",IF(N58&lt;M58,"날짜 확인",NETWORKDAYS(M58,N58,휴일!$A$2:$A$2)))</f>
        <v>1</v>
      </c>
      <c r="Q58" s="29" t="n">
        <f aca="false">IF(O58="","",IF($L$1&lt;K58,0,NETWORKDAYS(K58,MIN($L$1,L58),휴일!$A$2:$A$2)))</f>
        <v>1</v>
      </c>
      <c r="R58" s="29" t="n">
        <f aca="false">IF(M58="","",IF($L$1&lt;M58,0,NETWORKDAYS(M58,IF(N58="",$L$1,MIN($L$1,N58)),휴일!$A$2:$A$2)))</f>
        <v>1</v>
      </c>
      <c r="S58" s="30" t="n">
        <f aca="false">IF(O58="","",IF(O58=0,0,Q58/O58))</f>
        <v>1</v>
      </c>
      <c r="T58" s="31" t="n">
        <f aca="false">IF(OR(AND(AG58&lt;&gt;"",OR(NOT(ISNUMBER(AG58)),AG58&lt;=0)),AND(AH58&lt;&gt;"",OR(NOT(ISNUMBER(AH58)),AH58&lt;0)),AND(ISNUMBER(AG58),ISNUMBER(AH58),AH58&gt;AG58)),"수량 확인",IF(AF58="완료",1,IF(AF58="미착수",0,IF(AND(ISNUMBER(AG58),ISNUMBER(AH58)),AH58/AG58,""))))</f>
        <v>1</v>
      </c>
      <c r="U58" s="30" t="n">
        <f aca="false">IF(T58="","",T58)</f>
        <v>1</v>
      </c>
      <c r="V58" s="30" t="n">
        <f aca="false">IF(OR(U58="",S58=""),"",U58-S58)</f>
        <v>0</v>
      </c>
      <c r="W58" s="32" t="str">
        <f aca="false">IF(AND(ISNUMBER($M58),W$5&gt;=$M58,W$5&lt;=IF($N58="",$L$1,$N58),WEEKDAY(W$5,2)&lt;6,COUNTIF(휴일!$A$2:$A$2,W$5)=0),2,IF(AND(ISNUMBER($K58),W$5&gt;=$K58,W$5&lt;=$L58,WEEKDAY(W$5,2)&lt;6,COUNTIF(휴일!$A$2:$A$2,W$5)=0),1,""))</f>
        <v/>
      </c>
      <c r="X58" s="32" t="str">
        <f aca="false">IF(AND(ISNUMBER($M58),X$5&gt;=$M58,X$5&lt;=IF($N58="",$L$1,$N58),WEEKDAY(X$5,2)&lt;6,COUNTIF(휴일!$A$2:$A$2,X$5)=0),2,IF(AND(ISNUMBER($K58),X$5&gt;=$K58,X$5&lt;=$L58,WEEKDAY(X$5,2)&lt;6,COUNTIF(휴일!$A$2:$A$2,X$5)=0),1,""))</f>
        <v/>
      </c>
      <c r="Y58" s="32" t="str">
        <f aca="false">IF(AND(ISNUMBER($M58),Y$5&gt;=$M58,Y$5&lt;=IF($N58="",$L$1,$N58),WEEKDAY(Y$5,2)&lt;6,COUNTIF(휴일!$A$2:$A$2,Y$5)=0),2,IF(AND(ISNUMBER($K58),Y$5&gt;=$K58,Y$5&lt;=$L58,WEEKDAY(Y$5,2)&lt;6,COUNTIF(휴일!$A$2:$A$2,Y$5)=0),1,""))</f>
        <v/>
      </c>
      <c r="Z58" s="33" t="str">
        <f aca="false">IF(AND(ISNUMBER($M58),Z$5&gt;=$M58,Z$5&lt;=IF($N58="",$L$1,$N58),WEEKDAY(Z$5,2)&lt;6,COUNTIF(휴일!$A$2:$A$2,Z$5)=0),2,IF(AND(ISNUMBER($K58),Z$5&gt;=$K58,Z$5&lt;=$L58,WEEKDAY(Z$5,2)&lt;6,COUNTIF(휴일!$A$2:$A$2,Z$5)=0),1,""))</f>
        <v/>
      </c>
      <c r="AA58" s="33" t="str">
        <f aca="false">IF(AND(ISNUMBER($M58),AA$5&gt;=$M58,AA$5&lt;=IF($N58="",$L$1,$N58),WEEKDAY(AA$5,2)&lt;6,COUNTIF(휴일!$A$2:$A$2,AA$5)=0),2,IF(AND(ISNUMBER($K58),AA$5&gt;=$K58,AA$5&lt;=$L58,WEEKDAY(AA$5,2)&lt;6,COUNTIF(휴일!$A$2:$A$2,AA$5)=0),1,""))</f>
        <v/>
      </c>
      <c r="AB58" s="33" t="str">
        <f aca="false">IF(AND(ISNUMBER($M58),AB$5&gt;=$M58,AB$5&lt;=IF($N58="",$L$1,$N58),WEEKDAY(AB$5,2)&lt;6,COUNTIF(휴일!$A$2:$A$2,AB$5)=0),2,IF(AND(ISNUMBER($K58),AB$5&gt;=$K58,AB$5&lt;=$L58,WEEKDAY(AB$5,2)&lt;6,COUNTIF(휴일!$A$2:$A$2,AB$5)=0),1,""))</f>
        <v/>
      </c>
      <c r="AC58" s="32" t="n">
        <f aca="false">IF(AND(ISNUMBER($M58),AC$5&gt;=$M58,AC$5&lt;=IF($N58="",$L$1,$N58),WEEKDAY(AC$5,2)&lt;6,COUNTIF(휴일!$A$2:$A$2,AC$5)=0),2,IF(AND(ISNUMBER($K58),AC$5&gt;=$K58,AC$5&lt;=$L58,WEEKDAY(AC$5,2)&lt;6,COUNTIF(휴일!$A$2:$A$2,AC$5)=0),1,""))</f>
        <v>2</v>
      </c>
      <c r="AD58" s="32" t="str">
        <f aca="false">IF(AND(ISNUMBER($M58),AD$5&gt;=$M58,AD$5&lt;=IF($N58="",$L$1,$N58),WEEKDAY(AD$5,2)&lt;6,COUNTIF(휴일!$A$2:$A$2,AD$5)=0),2,IF(AND(ISNUMBER($K58),AD$5&gt;=$K58,AD$5&lt;=$L58,WEEKDAY(AD$5,2)&lt;6,COUNTIF(휴일!$A$2:$A$2,AD$5)=0),1,""))</f>
        <v/>
      </c>
      <c r="AE58" s="32" t="str">
        <f aca="false">IF(AND(ISNUMBER($M58),AE$5&gt;=$M58,AE$5&lt;=IF($N58="",$L$1,$N58),WEEKDAY(AE$5,2)&lt;6,COUNTIF(휴일!$A$2:$A$2,AE$5)=0),2,IF(AND(ISNUMBER($K58),AE$5&gt;=$K58,AE$5&lt;=$L58,WEEKDAY(AE$5,2)&lt;6,COUNTIF(휴일!$A$2:$A$2,AE$5)=0),1,""))</f>
        <v/>
      </c>
      <c r="AF58" s="25" t="s">
        <v>36</v>
      </c>
      <c r="AG58" s="26"/>
      <c r="AH58" s="26"/>
    </row>
    <row r="59" customFormat="false" ht="69.75" hidden="false" customHeight="true" outlineLevel="0" collapsed="false">
      <c r="A59" s="2"/>
      <c r="B59" s="14"/>
      <c r="C59" s="14"/>
      <c r="D59" s="16"/>
      <c r="E59" s="16"/>
      <c r="F59" s="27" t="s">
        <v>145</v>
      </c>
      <c r="G59" s="27"/>
      <c r="H59" s="27" t="s">
        <v>34</v>
      </c>
      <c r="I59" s="27" t="s">
        <v>33</v>
      </c>
      <c r="J59" s="27" t="s">
        <v>146</v>
      </c>
      <c r="K59" s="28" t="n">
        <v>46307</v>
      </c>
      <c r="L59" s="28" t="n">
        <v>46307</v>
      </c>
      <c r="M59" s="34" t="n">
        <v>46307</v>
      </c>
      <c r="N59" s="34" t="n">
        <v>46308</v>
      </c>
      <c r="O59" s="29" t="n">
        <f aca="false">IF(OR(K59="",L59=""),"",IF(L59&lt;K59,"날짜 확인",NETWORKDAYS(K59,L59,휴일!$A$2:$A$2)))</f>
        <v>1</v>
      </c>
      <c r="P59" s="29" t="n">
        <f aca="false">IF(OR(M59="",N59=""),"",IF(N59&lt;M59,"날짜 확인",NETWORKDAYS(M59,N59,휴일!$A$2:$A$2)))</f>
        <v>2</v>
      </c>
      <c r="Q59" s="29" t="n">
        <f aca="false">IF(O59="","",IF($L$1&lt;K59,0,NETWORKDAYS(K59,MIN($L$1,L59),휴일!$A$2:$A$2)))</f>
        <v>1</v>
      </c>
      <c r="R59" s="29" t="n">
        <f aca="false">IF(M59="","",IF($L$1&lt;M59,0,NETWORKDAYS(M59,IF(N59="",$L$1,MIN($L$1,N59)),휴일!$A$2:$A$2)))</f>
        <v>2</v>
      </c>
      <c r="S59" s="30" t="n">
        <f aca="false">IF(O59="","",IF(O59=0,0,Q59/O59))</f>
        <v>1</v>
      </c>
      <c r="T59" s="31" t="n">
        <f aca="false">IF(OR(AND(AG59&lt;&gt;"",OR(NOT(ISNUMBER(AG59)),AG59&lt;=0)),AND(AH59&lt;&gt;"",OR(NOT(ISNUMBER(AH59)),AH59&lt;0)),AND(ISNUMBER(AG59),ISNUMBER(AH59),AH59&gt;AG59)),"수량 확인",IF(AF59="완료",1,IF(AF59="미착수",0,IF(AND(ISNUMBER(AG59),ISNUMBER(AH59)),AH59/AG59,""))))</f>
        <v>1</v>
      </c>
      <c r="U59" s="30" t="n">
        <f aca="false">IF(T59="","",T59)</f>
        <v>1</v>
      </c>
      <c r="V59" s="30" t="n">
        <f aca="false">IF(OR(U59="",S59=""),"",U59-S59)</f>
        <v>0</v>
      </c>
      <c r="W59" s="32" t="str">
        <f aca="false">IF(AND(ISNUMBER($M59),W$5&gt;=$M59,W$5&lt;=IF($N59="",$L$1,$N59),WEEKDAY(W$5,2)&lt;6,COUNTIF(휴일!$A$2:$A$2,W$5)=0),2,IF(AND(ISNUMBER($K59),W$5&gt;=$K59,W$5&lt;=$L59,WEEKDAY(W$5,2)&lt;6,COUNTIF(휴일!$A$2:$A$2,W$5)=0),1,""))</f>
        <v/>
      </c>
      <c r="X59" s="32" t="str">
        <f aca="false">IF(AND(ISNUMBER($M59),X$5&gt;=$M59,X$5&lt;=IF($N59="",$L$1,$N59),WEEKDAY(X$5,2)&lt;6,COUNTIF(휴일!$A$2:$A$2,X$5)=0),2,IF(AND(ISNUMBER($K59),X$5&gt;=$K59,X$5&lt;=$L59,WEEKDAY(X$5,2)&lt;6,COUNTIF(휴일!$A$2:$A$2,X$5)=0),1,""))</f>
        <v/>
      </c>
      <c r="Y59" s="32" t="str">
        <f aca="false">IF(AND(ISNUMBER($M59),Y$5&gt;=$M59,Y$5&lt;=IF($N59="",$L$1,$N59),WEEKDAY(Y$5,2)&lt;6,COUNTIF(휴일!$A$2:$A$2,Y$5)=0),2,IF(AND(ISNUMBER($K59),Y$5&gt;=$K59,Y$5&lt;=$L59,WEEKDAY(Y$5,2)&lt;6,COUNTIF(휴일!$A$2:$A$2,Y$5)=0),1,""))</f>
        <v/>
      </c>
      <c r="Z59" s="33" t="str">
        <f aca="false">IF(AND(ISNUMBER($M59),Z$5&gt;=$M59,Z$5&lt;=IF($N59="",$L$1,$N59),WEEKDAY(Z$5,2)&lt;6,COUNTIF(휴일!$A$2:$A$2,Z$5)=0),2,IF(AND(ISNUMBER($K59),Z$5&gt;=$K59,Z$5&lt;=$L59,WEEKDAY(Z$5,2)&lt;6,COUNTIF(휴일!$A$2:$A$2,Z$5)=0),1,""))</f>
        <v/>
      </c>
      <c r="AA59" s="33" t="str">
        <f aca="false">IF(AND(ISNUMBER($M59),AA$5&gt;=$M59,AA$5&lt;=IF($N59="",$L$1,$N59),WEEKDAY(AA$5,2)&lt;6,COUNTIF(휴일!$A$2:$A$2,AA$5)=0),2,IF(AND(ISNUMBER($K59),AA$5&gt;=$K59,AA$5&lt;=$L59,WEEKDAY(AA$5,2)&lt;6,COUNTIF(휴일!$A$2:$A$2,AA$5)=0),1,""))</f>
        <v/>
      </c>
      <c r="AB59" s="33" t="str">
        <f aca="false">IF(AND(ISNUMBER($M59),AB$5&gt;=$M59,AB$5&lt;=IF($N59="",$L$1,$N59),WEEKDAY(AB$5,2)&lt;6,COUNTIF(휴일!$A$2:$A$2,AB$5)=0),2,IF(AND(ISNUMBER($K59),AB$5&gt;=$K59,AB$5&lt;=$L59,WEEKDAY(AB$5,2)&lt;6,COUNTIF(휴일!$A$2:$A$2,AB$5)=0),1,""))</f>
        <v/>
      </c>
      <c r="AC59" s="32" t="n">
        <f aca="false">IF(AND(ISNUMBER($M59),AC$5&gt;=$M59,AC$5&lt;=IF($N59="",$L$1,$N59),WEEKDAY(AC$5,2)&lt;6,COUNTIF(휴일!$A$2:$A$2,AC$5)=0),2,IF(AND(ISNUMBER($K59),AC$5&gt;=$K59,AC$5&lt;=$L59,WEEKDAY(AC$5,2)&lt;6,COUNTIF(휴일!$A$2:$A$2,AC$5)=0),1,""))</f>
        <v>2</v>
      </c>
      <c r="AD59" s="32" t="n">
        <f aca="false">IF(AND(ISNUMBER($M59),AD$5&gt;=$M59,AD$5&lt;=IF($N59="",$L$1,$N59),WEEKDAY(AD$5,2)&lt;6,COUNTIF(휴일!$A$2:$A$2,AD$5)=0),2,IF(AND(ISNUMBER($K59),AD$5&gt;=$K59,AD$5&lt;=$L59,WEEKDAY(AD$5,2)&lt;6,COUNTIF(휴일!$A$2:$A$2,AD$5)=0),1,""))</f>
        <v>2</v>
      </c>
      <c r="AE59" s="32" t="str">
        <f aca="false">IF(AND(ISNUMBER($M59),AE$5&gt;=$M59,AE$5&lt;=IF($N59="",$L$1,$N59),WEEKDAY(AE$5,2)&lt;6,COUNTIF(휴일!$A$2:$A$2,AE$5)=0),2,IF(AND(ISNUMBER($K59),AE$5&gt;=$K59,AE$5&lt;=$L59,WEEKDAY(AE$5,2)&lt;6,COUNTIF(휴일!$A$2:$A$2,AE$5)=0),1,""))</f>
        <v/>
      </c>
      <c r="AF59" s="25" t="s">
        <v>36</v>
      </c>
      <c r="AG59" s="26"/>
      <c r="AH59" s="26"/>
    </row>
    <row r="60" customFormat="false" ht="69.75" hidden="false" customHeight="true" outlineLevel="0" collapsed="false">
      <c r="A60" s="2"/>
      <c r="B60" s="14"/>
      <c r="C60" s="14"/>
      <c r="D60" s="16"/>
      <c r="E60" s="16"/>
      <c r="F60" s="27" t="s">
        <v>147</v>
      </c>
      <c r="G60" s="27"/>
      <c r="H60" s="27" t="s">
        <v>34</v>
      </c>
      <c r="I60" s="27" t="s">
        <v>33</v>
      </c>
      <c r="J60" s="27" t="s">
        <v>148</v>
      </c>
      <c r="K60" s="28" t="n">
        <v>46307</v>
      </c>
      <c r="L60" s="28" t="n">
        <v>46307</v>
      </c>
      <c r="M60" s="34" t="n">
        <v>46308</v>
      </c>
      <c r="N60" s="34" t="n">
        <v>46308</v>
      </c>
      <c r="O60" s="29" t="n">
        <f aca="false">IF(OR(K60="",L60=""),"",IF(L60&lt;K60,"날짜 확인",NETWORKDAYS(K60,L60,휴일!$A$2:$A$2)))</f>
        <v>1</v>
      </c>
      <c r="P60" s="29" t="n">
        <f aca="false">IF(OR(M60="",N60=""),"",IF(N60&lt;M60,"날짜 확인",NETWORKDAYS(M60,N60,휴일!$A$2:$A$2)))</f>
        <v>1</v>
      </c>
      <c r="Q60" s="29" t="n">
        <f aca="false">IF(O60="","",IF($L$1&lt;K60,0,NETWORKDAYS(K60,MIN($L$1,L60),휴일!$A$2:$A$2)))</f>
        <v>1</v>
      </c>
      <c r="R60" s="29" t="n">
        <f aca="false">IF(M60="","",IF($L$1&lt;M60,0,NETWORKDAYS(M60,IF(N60="",$L$1,MIN($L$1,N60)),휴일!$A$2:$A$2)))</f>
        <v>1</v>
      </c>
      <c r="S60" s="30" t="n">
        <f aca="false">IF(O60="","",IF(O60=0,0,Q60/O60))</f>
        <v>1</v>
      </c>
      <c r="T60" s="31" t="n">
        <f aca="false">IF(OR(AND(AG60&lt;&gt;"",OR(NOT(ISNUMBER(AG60)),AG60&lt;=0)),AND(AH60&lt;&gt;"",OR(NOT(ISNUMBER(AH60)),AH60&lt;0)),AND(ISNUMBER(AG60),ISNUMBER(AH60),AH60&gt;AG60)),"수량 확인",IF(AF60="완료",1,IF(AF60="미착수",0,IF(AND(ISNUMBER(AG60),ISNUMBER(AH60)),AH60/AG60,""))))</f>
        <v>1</v>
      </c>
      <c r="U60" s="30" t="n">
        <f aca="false">IF(T60="","",T60)</f>
        <v>1</v>
      </c>
      <c r="V60" s="30" t="n">
        <f aca="false">IF(OR(U60="",S60=""),"",U60-S60)</f>
        <v>0</v>
      </c>
      <c r="W60" s="32" t="str">
        <f aca="false">IF(AND(ISNUMBER($M60),W$5&gt;=$M60,W$5&lt;=IF($N60="",$L$1,$N60),WEEKDAY(W$5,2)&lt;6,COUNTIF(휴일!$A$2:$A$2,W$5)=0),2,IF(AND(ISNUMBER($K60),W$5&gt;=$K60,W$5&lt;=$L60,WEEKDAY(W$5,2)&lt;6,COUNTIF(휴일!$A$2:$A$2,W$5)=0),1,""))</f>
        <v/>
      </c>
      <c r="X60" s="32" t="str">
        <f aca="false">IF(AND(ISNUMBER($M60),X$5&gt;=$M60,X$5&lt;=IF($N60="",$L$1,$N60),WEEKDAY(X$5,2)&lt;6,COUNTIF(휴일!$A$2:$A$2,X$5)=0),2,IF(AND(ISNUMBER($K60),X$5&gt;=$K60,X$5&lt;=$L60,WEEKDAY(X$5,2)&lt;6,COUNTIF(휴일!$A$2:$A$2,X$5)=0),1,""))</f>
        <v/>
      </c>
      <c r="Y60" s="32" t="str">
        <f aca="false">IF(AND(ISNUMBER($M60),Y$5&gt;=$M60,Y$5&lt;=IF($N60="",$L$1,$N60),WEEKDAY(Y$5,2)&lt;6,COUNTIF(휴일!$A$2:$A$2,Y$5)=0),2,IF(AND(ISNUMBER($K60),Y$5&gt;=$K60,Y$5&lt;=$L60,WEEKDAY(Y$5,2)&lt;6,COUNTIF(휴일!$A$2:$A$2,Y$5)=0),1,""))</f>
        <v/>
      </c>
      <c r="Z60" s="33" t="str">
        <f aca="false">IF(AND(ISNUMBER($M60),Z$5&gt;=$M60,Z$5&lt;=IF($N60="",$L$1,$N60),WEEKDAY(Z$5,2)&lt;6,COUNTIF(휴일!$A$2:$A$2,Z$5)=0),2,IF(AND(ISNUMBER($K60),Z$5&gt;=$K60,Z$5&lt;=$L60,WEEKDAY(Z$5,2)&lt;6,COUNTIF(휴일!$A$2:$A$2,Z$5)=0),1,""))</f>
        <v/>
      </c>
      <c r="AA60" s="33" t="str">
        <f aca="false">IF(AND(ISNUMBER($M60),AA$5&gt;=$M60,AA$5&lt;=IF($N60="",$L$1,$N60),WEEKDAY(AA$5,2)&lt;6,COUNTIF(휴일!$A$2:$A$2,AA$5)=0),2,IF(AND(ISNUMBER($K60),AA$5&gt;=$K60,AA$5&lt;=$L60,WEEKDAY(AA$5,2)&lt;6,COUNTIF(휴일!$A$2:$A$2,AA$5)=0),1,""))</f>
        <v/>
      </c>
      <c r="AB60" s="33" t="str">
        <f aca="false">IF(AND(ISNUMBER($M60),AB$5&gt;=$M60,AB$5&lt;=IF($N60="",$L$1,$N60),WEEKDAY(AB$5,2)&lt;6,COUNTIF(휴일!$A$2:$A$2,AB$5)=0),2,IF(AND(ISNUMBER($K60),AB$5&gt;=$K60,AB$5&lt;=$L60,WEEKDAY(AB$5,2)&lt;6,COUNTIF(휴일!$A$2:$A$2,AB$5)=0),1,""))</f>
        <v/>
      </c>
      <c r="AC60" s="32" t="n">
        <f aca="false">IF(AND(ISNUMBER($M60),AC$5&gt;=$M60,AC$5&lt;=IF($N60="",$L$1,$N60),WEEKDAY(AC$5,2)&lt;6,COUNTIF(휴일!$A$2:$A$2,AC$5)=0),2,IF(AND(ISNUMBER($K60),AC$5&gt;=$K60,AC$5&lt;=$L60,WEEKDAY(AC$5,2)&lt;6,COUNTIF(휴일!$A$2:$A$2,AC$5)=0),1,""))</f>
        <v>1</v>
      </c>
      <c r="AD60" s="32" t="n">
        <f aca="false">IF(AND(ISNUMBER($M60),AD$5&gt;=$M60,AD$5&lt;=IF($N60="",$L$1,$N60),WEEKDAY(AD$5,2)&lt;6,COUNTIF(휴일!$A$2:$A$2,AD$5)=0),2,IF(AND(ISNUMBER($K60),AD$5&gt;=$K60,AD$5&lt;=$L60,WEEKDAY(AD$5,2)&lt;6,COUNTIF(휴일!$A$2:$A$2,AD$5)=0),1,""))</f>
        <v>2</v>
      </c>
      <c r="AE60" s="32" t="str">
        <f aca="false">IF(AND(ISNUMBER($M60),AE$5&gt;=$M60,AE$5&lt;=IF($N60="",$L$1,$N60),WEEKDAY(AE$5,2)&lt;6,COUNTIF(휴일!$A$2:$A$2,AE$5)=0),2,IF(AND(ISNUMBER($K60),AE$5&gt;=$K60,AE$5&lt;=$L60,WEEKDAY(AE$5,2)&lt;6,COUNTIF(휴일!$A$2:$A$2,AE$5)=0),1,""))</f>
        <v/>
      </c>
      <c r="AF60" s="25" t="s">
        <v>36</v>
      </c>
      <c r="AG60" s="26"/>
      <c r="AH60" s="26"/>
    </row>
    <row r="61" customFormat="false" ht="54" hidden="false" customHeight="true" outlineLevel="0" collapsed="false">
      <c r="A61" s="2"/>
      <c r="B61" s="14"/>
      <c r="C61" s="14"/>
      <c r="D61" s="16"/>
      <c r="E61" s="16"/>
      <c r="F61" s="27" t="s">
        <v>149</v>
      </c>
      <c r="G61" s="27"/>
      <c r="H61" s="27" t="s">
        <v>33</v>
      </c>
      <c r="I61" s="27" t="s">
        <v>34</v>
      </c>
      <c r="J61" s="27" t="s">
        <v>150</v>
      </c>
      <c r="K61" s="28" t="n">
        <v>46307</v>
      </c>
      <c r="L61" s="28" t="n">
        <v>46307</v>
      </c>
      <c r="M61" s="34" t="n">
        <v>46307</v>
      </c>
      <c r="N61" s="34"/>
      <c r="O61" s="29" t="n">
        <f aca="false">IF(OR(K61="",L61=""),"",IF(L61&lt;K61,"날짜 확인",NETWORKDAYS(K61,L61,휴일!$A$2:$A$2)))</f>
        <v>1</v>
      </c>
      <c r="P61" s="29" t="str">
        <f aca="false">IF(OR(M61="",N61=""),"",IF(N61&lt;M61,"날짜 확인",NETWORKDAYS(M61,N61,휴일!$A$2:$A$2)))</f>
        <v/>
      </c>
      <c r="Q61" s="29" t="n">
        <f aca="false">IF(O61="","",IF($L$1&lt;K61,0,NETWORKDAYS(K61,MIN($L$1,L61),휴일!$A$2:$A$2)))</f>
        <v>1</v>
      </c>
      <c r="R61" s="29" t="n">
        <f aca="false">IF(M61="","",IF($L$1&lt;M61,0,NETWORKDAYS(M61,IF(N61="",$L$1,MIN($L$1,N61)),휴일!$A$2:$A$2)))</f>
        <v>2</v>
      </c>
      <c r="S61" s="30" t="n">
        <f aca="false">IF(O61="","",IF(O61=0,0,Q61/O61))</f>
        <v>1</v>
      </c>
      <c r="T61" s="31" t="n">
        <f aca="false">IF(OR(AND(AG61&lt;&gt;"",OR(NOT(ISNUMBER(AG61)),AG61&lt;=0)),AND(AH61&lt;&gt;"",OR(NOT(ISNUMBER(AH61)),AH61&lt;0)),AND(ISNUMBER(AG61),ISNUMBER(AH61),AH61&gt;AG61)),"수량 확인",IF(AF61="완료",1,IF(AF61="미착수",0,IF(AND(ISNUMBER(AG61),ISNUMBER(AH61)),AH61/AG61,""))))</f>
        <v>0.333333333333333</v>
      </c>
      <c r="U61" s="30" t="n">
        <f aca="false">IF(T61="","",T61)</f>
        <v>0.333333333333333</v>
      </c>
      <c r="V61" s="30" t="n">
        <f aca="false">IF(OR(U61="",S61=""),"",U61-S61)</f>
        <v>-0.666666666666667</v>
      </c>
      <c r="W61" s="32" t="str">
        <f aca="false">IF(AND(ISNUMBER($M61),W$5&gt;=$M61,W$5&lt;=IF($N61="",$L$1,$N61),WEEKDAY(W$5,2)&lt;6,COUNTIF(휴일!$A$2:$A$2,W$5)=0),2,IF(AND(ISNUMBER($K61),W$5&gt;=$K61,W$5&lt;=$L61,WEEKDAY(W$5,2)&lt;6,COUNTIF(휴일!$A$2:$A$2,W$5)=0),1,""))</f>
        <v/>
      </c>
      <c r="X61" s="32" t="str">
        <f aca="false">IF(AND(ISNUMBER($M61),X$5&gt;=$M61,X$5&lt;=IF($N61="",$L$1,$N61),WEEKDAY(X$5,2)&lt;6,COUNTIF(휴일!$A$2:$A$2,X$5)=0),2,IF(AND(ISNUMBER($K61),X$5&gt;=$K61,X$5&lt;=$L61,WEEKDAY(X$5,2)&lt;6,COUNTIF(휴일!$A$2:$A$2,X$5)=0),1,""))</f>
        <v/>
      </c>
      <c r="Y61" s="32" t="str">
        <f aca="false">IF(AND(ISNUMBER($M61),Y$5&gt;=$M61,Y$5&lt;=IF($N61="",$L$1,$N61),WEEKDAY(Y$5,2)&lt;6,COUNTIF(휴일!$A$2:$A$2,Y$5)=0),2,IF(AND(ISNUMBER($K61),Y$5&gt;=$K61,Y$5&lt;=$L61,WEEKDAY(Y$5,2)&lt;6,COUNTIF(휴일!$A$2:$A$2,Y$5)=0),1,""))</f>
        <v/>
      </c>
      <c r="Z61" s="33" t="str">
        <f aca="false">IF(AND(ISNUMBER($M61),Z$5&gt;=$M61,Z$5&lt;=IF($N61="",$L$1,$N61),WEEKDAY(Z$5,2)&lt;6,COUNTIF(휴일!$A$2:$A$2,Z$5)=0),2,IF(AND(ISNUMBER($K61),Z$5&gt;=$K61,Z$5&lt;=$L61,WEEKDAY(Z$5,2)&lt;6,COUNTIF(휴일!$A$2:$A$2,Z$5)=0),1,""))</f>
        <v/>
      </c>
      <c r="AA61" s="33" t="str">
        <f aca="false">IF(AND(ISNUMBER($M61),AA$5&gt;=$M61,AA$5&lt;=IF($N61="",$L$1,$N61),WEEKDAY(AA$5,2)&lt;6,COUNTIF(휴일!$A$2:$A$2,AA$5)=0),2,IF(AND(ISNUMBER($K61),AA$5&gt;=$K61,AA$5&lt;=$L61,WEEKDAY(AA$5,2)&lt;6,COUNTIF(휴일!$A$2:$A$2,AA$5)=0),1,""))</f>
        <v/>
      </c>
      <c r="AB61" s="33" t="str">
        <f aca="false">IF(AND(ISNUMBER($M61),AB$5&gt;=$M61,AB$5&lt;=IF($N61="",$L$1,$N61),WEEKDAY(AB$5,2)&lt;6,COUNTIF(휴일!$A$2:$A$2,AB$5)=0),2,IF(AND(ISNUMBER($K61),AB$5&gt;=$K61,AB$5&lt;=$L61,WEEKDAY(AB$5,2)&lt;6,COUNTIF(휴일!$A$2:$A$2,AB$5)=0),1,""))</f>
        <v/>
      </c>
      <c r="AC61" s="32" t="n">
        <f aca="false">IF(AND(ISNUMBER($M61),AC$5&gt;=$M61,AC$5&lt;=IF($N61="",$L$1,$N61),WEEKDAY(AC$5,2)&lt;6,COUNTIF(휴일!$A$2:$A$2,AC$5)=0),2,IF(AND(ISNUMBER($K61),AC$5&gt;=$K61,AC$5&lt;=$L61,WEEKDAY(AC$5,2)&lt;6,COUNTIF(휴일!$A$2:$A$2,AC$5)=0),1,""))</f>
        <v>2</v>
      </c>
      <c r="AD61" s="32" t="n">
        <f aca="false">IF(AND(ISNUMBER($M61),AD$5&gt;=$M61,AD$5&lt;=IF($N61="",$L$1,$N61),WEEKDAY(AD$5,2)&lt;6,COUNTIF(휴일!$A$2:$A$2,AD$5)=0),2,IF(AND(ISNUMBER($K61),AD$5&gt;=$K61,AD$5&lt;=$L61,WEEKDAY(AD$5,2)&lt;6,COUNTIF(휴일!$A$2:$A$2,AD$5)=0),1,""))</f>
        <v>2</v>
      </c>
      <c r="AE61" s="32" t="str">
        <f aca="false">IF(AND(ISNUMBER($M61),AE$5&gt;=$M61,AE$5&lt;=IF($N61="",$L$1,$N61),WEEKDAY(AE$5,2)&lt;6,COUNTIF(휴일!$A$2:$A$2,AE$5)=0),2,IF(AND(ISNUMBER($K61),AE$5&gt;=$K61,AE$5&lt;=$L61,WEEKDAY(AE$5,2)&lt;6,COUNTIF(휴일!$A$2:$A$2,AE$5)=0),1,""))</f>
        <v/>
      </c>
      <c r="AF61" s="25" t="s">
        <v>151</v>
      </c>
      <c r="AG61" s="26" t="n">
        <v>12</v>
      </c>
      <c r="AH61" s="26" t="n">
        <v>4</v>
      </c>
    </row>
    <row r="62" customFormat="false" ht="69.75" hidden="false" customHeight="true" outlineLevel="0" collapsed="false">
      <c r="A62" s="2"/>
      <c r="B62" s="14"/>
      <c r="C62" s="14"/>
      <c r="D62" s="16"/>
      <c r="E62" s="16"/>
      <c r="F62" s="27" t="s">
        <v>152</v>
      </c>
      <c r="G62" s="27"/>
      <c r="H62" s="27" t="s">
        <v>34</v>
      </c>
      <c r="I62" s="27" t="s">
        <v>33</v>
      </c>
      <c r="J62" s="27" t="s">
        <v>153</v>
      </c>
      <c r="K62" s="28" t="n">
        <v>46307</v>
      </c>
      <c r="L62" s="28" t="n">
        <v>46307</v>
      </c>
      <c r="M62" s="34" t="n">
        <v>46307</v>
      </c>
      <c r="N62" s="34" t="n">
        <v>46307</v>
      </c>
      <c r="O62" s="29" t="n">
        <f aca="false">IF(OR(K62="",L62=""),"",IF(L62&lt;K62,"날짜 확인",NETWORKDAYS(K62,L62,휴일!$A$2:$A$2)))</f>
        <v>1</v>
      </c>
      <c r="P62" s="29" t="n">
        <f aca="false">IF(OR(M62="",N62=""),"",IF(N62&lt;M62,"날짜 확인",NETWORKDAYS(M62,N62,휴일!$A$2:$A$2)))</f>
        <v>1</v>
      </c>
      <c r="Q62" s="29" t="n">
        <f aca="false">IF(O62="","",IF($L$1&lt;K62,0,NETWORKDAYS(K62,MIN($L$1,L62),휴일!$A$2:$A$2)))</f>
        <v>1</v>
      </c>
      <c r="R62" s="29" t="n">
        <f aca="false">IF(M62="","",IF($L$1&lt;M62,0,NETWORKDAYS(M62,IF(N62="",$L$1,MIN($L$1,N62)),휴일!$A$2:$A$2)))</f>
        <v>1</v>
      </c>
      <c r="S62" s="30" t="n">
        <f aca="false">IF(O62="","",IF(O62=0,0,Q62/O62))</f>
        <v>1</v>
      </c>
      <c r="T62" s="31" t="n">
        <f aca="false">IF(OR(AND(AG62&lt;&gt;"",OR(NOT(ISNUMBER(AG62)),AG62&lt;=0)),AND(AH62&lt;&gt;"",OR(NOT(ISNUMBER(AH62)),AH62&lt;0)),AND(ISNUMBER(AG62),ISNUMBER(AH62),AH62&gt;AG62)),"수량 확인",IF(AF62="완료",1,IF(AF62="미착수",0,IF(AND(ISNUMBER(AG62),ISNUMBER(AH62)),AH62/AG62,""))))</f>
        <v>1</v>
      </c>
      <c r="U62" s="30" t="n">
        <f aca="false">IF(T62="","",T62)</f>
        <v>1</v>
      </c>
      <c r="V62" s="30" t="n">
        <f aca="false">IF(OR(U62="",S62=""),"",U62-S62)</f>
        <v>0</v>
      </c>
      <c r="W62" s="32" t="str">
        <f aca="false">IF(AND(ISNUMBER($M62),W$5&gt;=$M62,W$5&lt;=IF($N62="",$L$1,$N62),WEEKDAY(W$5,2)&lt;6,COUNTIF(휴일!$A$2:$A$2,W$5)=0),2,IF(AND(ISNUMBER($K62),W$5&gt;=$K62,W$5&lt;=$L62,WEEKDAY(W$5,2)&lt;6,COUNTIF(휴일!$A$2:$A$2,W$5)=0),1,""))</f>
        <v/>
      </c>
      <c r="X62" s="32" t="str">
        <f aca="false">IF(AND(ISNUMBER($M62),X$5&gt;=$M62,X$5&lt;=IF($N62="",$L$1,$N62),WEEKDAY(X$5,2)&lt;6,COUNTIF(휴일!$A$2:$A$2,X$5)=0),2,IF(AND(ISNUMBER($K62),X$5&gt;=$K62,X$5&lt;=$L62,WEEKDAY(X$5,2)&lt;6,COUNTIF(휴일!$A$2:$A$2,X$5)=0),1,""))</f>
        <v/>
      </c>
      <c r="Y62" s="32" t="str">
        <f aca="false">IF(AND(ISNUMBER($M62),Y$5&gt;=$M62,Y$5&lt;=IF($N62="",$L$1,$N62),WEEKDAY(Y$5,2)&lt;6,COUNTIF(휴일!$A$2:$A$2,Y$5)=0),2,IF(AND(ISNUMBER($K62),Y$5&gt;=$K62,Y$5&lt;=$L62,WEEKDAY(Y$5,2)&lt;6,COUNTIF(휴일!$A$2:$A$2,Y$5)=0),1,""))</f>
        <v/>
      </c>
      <c r="Z62" s="33" t="str">
        <f aca="false">IF(AND(ISNUMBER($M62),Z$5&gt;=$M62,Z$5&lt;=IF($N62="",$L$1,$N62),WEEKDAY(Z$5,2)&lt;6,COUNTIF(휴일!$A$2:$A$2,Z$5)=0),2,IF(AND(ISNUMBER($K62),Z$5&gt;=$K62,Z$5&lt;=$L62,WEEKDAY(Z$5,2)&lt;6,COUNTIF(휴일!$A$2:$A$2,Z$5)=0),1,""))</f>
        <v/>
      </c>
      <c r="AA62" s="33" t="str">
        <f aca="false">IF(AND(ISNUMBER($M62),AA$5&gt;=$M62,AA$5&lt;=IF($N62="",$L$1,$N62),WEEKDAY(AA$5,2)&lt;6,COUNTIF(휴일!$A$2:$A$2,AA$5)=0),2,IF(AND(ISNUMBER($K62),AA$5&gt;=$K62,AA$5&lt;=$L62,WEEKDAY(AA$5,2)&lt;6,COUNTIF(휴일!$A$2:$A$2,AA$5)=0),1,""))</f>
        <v/>
      </c>
      <c r="AB62" s="33" t="str">
        <f aca="false">IF(AND(ISNUMBER($M62),AB$5&gt;=$M62,AB$5&lt;=IF($N62="",$L$1,$N62),WEEKDAY(AB$5,2)&lt;6,COUNTIF(휴일!$A$2:$A$2,AB$5)=0),2,IF(AND(ISNUMBER($K62),AB$5&gt;=$K62,AB$5&lt;=$L62,WEEKDAY(AB$5,2)&lt;6,COUNTIF(휴일!$A$2:$A$2,AB$5)=0),1,""))</f>
        <v/>
      </c>
      <c r="AC62" s="32" t="n">
        <f aca="false">IF(AND(ISNUMBER($M62),AC$5&gt;=$M62,AC$5&lt;=IF($N62="",$L$1,$N62),WEEKDAY(AC$5,2)&lt;6,COUNTIF(휴일!$A$2:$A$2,AC$5)=0),2,IF(AND(ISNUMBER($K62),AC$5&gt;=$K62,AC$5&lt;=$L62,WEEKDAY(AC$5,2)&lt;6,COUNTIF(휴일!$A$2:$A$2,AC$5)=0),1,""))</f>
        <v>2</v>
      </c>
      <c r="AD62" s="32" t="str">
        <f aca="false">IF(AND(ISNUMBER($M62),AD$5&gt;=$M62,AD$5&lt;=IF($N62="",$L$1,$N62),WEEKDAY(AD$5,2)&lt;6,COUNTIF(휴일!$A$2:$A$2,AD$5)=0),2,IF(AND(ISNUMBER($K62),AD$5&gt;=$K62,AD$5&lt;=$L62,WEEKDAY(AD$5,2)&lt;6,COUNTIF(휴일!$A$2:$A$2,AD$5)=0),1,""))</f>
        <v/>
      </c>
      <c r="AE62" s="32" t="str">
        <f aca="false">IF(AND(ISNUMBER($M62),AE$5&gt;=$M62,AE$5&lt;=IF($N62="",$L$1,$N62),WEEKDAY(AE$5,2)&lt;6,COUNTIF(휴일!$A$2:$A$2,AE$5)=0),2,IF(AND(ISNUMBER($K62),AE$5&gt;=$K62,AE$5&lt;=$L62,WEEKDAY(AE$5,2)&lt;6,COUNTIF(휴일!$A$2:$A$2,AE$5)=0),1,""))</f>
        <v/>
      </c>
      <c r="AF62" s="25" t="s">
        <v>36</v>
      </c>
      <c r="AG62" s="26"/>
      <c r="AH62" s="26"/>
    </row>
    <row r="63" customFormat="false" ht="54" hidden="false" customHeight="true" outlineLevel="0" collapsed="false">
      <c r="A63" s="2"/>
      <c r="B63" s="14"/>
      <c r="C63" s="14"/>
      <c r="D63" s="16"/>
      <c r="E63" s="16"/>
      <c r="F63" s="27" t="s">
        <v>154</v>
      </c>
      <c r="G63" s="27"/>
      <c r="H63" s="27" t="s">
        <v>33</v>
      </c>
      <c r="I63" s="27" t="s">
        <v>34</v>
      </c>
      <c r="J63" s="27" t="s">
        <v>155</v>
      </c>
      <c r="K63" s="28" t="n">
        <v>46307</v>
      </c>
      <c r="L63" s="28" t="n">
        <v>46307</v>
      </c>
      <c r="M63" s="34" t="n">
        <v>46307</v>
      </c>
      <c r="N63" s="34" t="n">
        <v>46307</v>
      </c>
      <c r="O63" s="29" t="n">
        <f aca="false">IF(OR(K63="",L63=""),"",IF(L63&lt;K63,"날짜 확인",NETWORKDAYS(K63,L63,휴일!$A$2:$A$2)))</f>
        <v>1</v>
      </c>
      <c r="P63" s="29" t="n">
        <f aca="false">IF(OR(M63="",N63=""),"",IF(N63&lt;M63,"날짜 확인",NETWORKDAYS(M63,N63,휴일!$A$2:$A$2)))</f>
        <v>1</v>
      </c>
      <c r="Q63" s="29" t="n">
        <f aca="false">IF(O63="","",IF($L$1&lt;K63,0,NETWORKDAYS(K63,MIN($L$1,L63),휴일!$A$2:$A$2)))</f>
        <v>1</v>
      </c>
      <c r="R63" s="29" t="n">
        <f aca="false">IF(M63="","",IF($L$1&lt;M63,0,NETWORKDAYS(M63,IF(N63="",$L$1,MIN($L$1,N63)),휴일!$A$2:$A$2)))</f>
        <v>1</v>
      </c>
      <c r="S63" s="30" t="n">
        <f aca="false">IF(O63="","",IF(O63=0,0,Q63/O63))</f>
        <v>1</v>
      </c>
      <c r="T63" s="31" t="n">
        <f aca="false">IF(OR(AND(AG63&lt;&gt;"",OR(NOT(ISNUMBER(AG63)),AG63&lt;=0)),AND(AH63&lt;&gt;"",OR(NOT(ISNUMBER(AH63)),AH63&lt;0)),AND(ISNUMBER(AG63),ISNUMBER(AH63),AH63&gt;AG63)),"수량 확인",IF(AF63="완료",1,IF(AF63="미착수",0,IF(AND(ISNUMBER(AG63),ISNUMBER(AH63)),AH63/AG63,""))))</f>
        <v>1</v>
      </c>
      <c r="U63" s="30" t="n">
        <f aca="false">IF(T63="","",T63)</f>
        <v>1</v>
      </c>
      <c r="V63" s="30" t="n">
        <f aca="false">IF(OR(U63="",S63=""),"",U63-S63)</f>
        <v>0</v>
      </c>
      <c r="W63" s="32" t="str">
        <f aca="false">IF(AND(ISNUMBER($M63),W$5&gt;=$M63,W$5&lt;=IF($N63="",$L$1,$N63),WEEKDAY(W$5,2)&lt;6,COUNTIF(휴일!$A$2:$A$2,W$5)=0),2,IF(AND(ISNUMBER($K63),W$5&gt;=$K63,W$5&lt;=$L63,WEEKDAY(W$5,2)&lt;6,COUNTIF(휴일!$A$2:$A$2,W$5)=0),1,""))</f>
        <v/>
      </c>
      <c r="X63" s="32" t="str">
        <f aca="false">IF(AND(ISNUMBER($M63),X$5&gt;=$M63,X$5&lt;=IF($N63="",$L$1,$N63),WEEKDAY(X$5,2)&lt;6,COUNTIF(휴일!$A$2:$A$2,X$5)=0),2,IF(AND(ISNUMBER($K63),X$5&gt;=$K63,X$5&lt;=$L63,WEEKDAY(X$5,2)&lt;6,COUNTIF(휴일!$A$2:$A$2,X$5)=0),1,""))</f>
        <v/>
      </c>
      <c r="Y63" s="32" t="str">
        <f aca="false">IF(AND(ISNUMBER($M63),Y$5&gt;=$M63,Y$5&lt;=IF($N63="",$L$1,$N63),WEEKDAY(Y$5,2)&lt;6,COUNTIF(휴일!$A$2:$A$2,Y$5)=0),2,IF(AND(ISNUMBER($K63),Y$5&gt;=$K63,Y$5&lt;=$L63,WEEKDAY(Y$5,2)&lt;6,COUNTIF(휴일!$A$2:$A$2,Y$5)=0),1,""))</f>
        <v/>
      </c>
      <c r="Z63" s="33" t="str">
        <f aca="false">IF(AND(ISNUMBER($M63),Z$5&gt;=$M63,Z$5&lt;=IF($N63="",$L$1,$N63),WEEKDAY(Z$5,2)&lt;6,COUNTIF(휴일!$A$2:$A$2,Z$5)=0),2,IF(AND(ISNUMBER($K63),Z$5&gt;=$K63,Z$5&lt;=$L63,WEEKDAY(Z$5,2)&lt;6,COUNTIF(휴일!$A$2:$A$2,Z$5)=0),1,""))</f>
        <v/>
      </c>
      <c r="AA63" s="33" t="str">
        <f aca="false">IF(AND(ISNUMBER($M63),AA$5&gt;=$M63,AA$5&lt;=IF($N63="",$L$1,$N63),WEEKDAY(AA$5,2)&lt;6,COUNTIF(휴일!$A$2:$A$2,AA$5)=0),2,IF(AND(ISNUMBER($K63),AA$5&gt;=$K63,AA$5&lt;=$L63,WEEKDAY(AA$5,2)&lt;6,COUNTIF(휴일!$A$2:$A$2,AA$5)=0),1,""))</f>
        <v/>
      </c>
      <c r="AB63" s="33" t="str">
        <f aca="false">IF(AND(ISNUMBER($M63),AB$5&gt;=$M63,AB$5&lt;=IF($N63="",$L$1,$N63),WEEKDAY(AB$5,2)&lt;6,COUNTIF(휴일!$A$2:$A$2,AB$5)=0),2,IF(AND(ISNUMBER($K63),AB$5&gt;=$K63,AB$5&lt;=$L63,WEEKDAY(AB$5,2)&lt;6,COUNTIF(휴일!$A$2:$A$2,AB$5)=0),1,""))</f>
        <v/>
      </c>
      <c r="AC63" s="32" t="n">
        <f aca="false">IF(AND(ISNUMBER($M63),AC$5&gt;=$M63,AC$5&lt;=IF($N63="",$L$1,$N63),WEEKDAY(AC$5,2)&lt;6,COUNTIF(휴일!$A$2:$A$2,AC$5)=0),2,IF(AND(ISNUMBER($K63),AC$5&gt;=$K63,AC$5&lt;=$L63,WEEKDAY(AC$5,2)&lt;6,COUNTIF(휴일!$A$2:$A$2,AC$5)=0),1,""))</f>
        <v>2</v>
      </c>
      <c r="AD63" s="32" t="str">
        <f aca="false">IF(AND(ISNUMBER($M63),AD$5&gt;=$M63,AD$5&lt;=IF($N63="",$L$1,$N63),WEEKDAY(AD$5,2)&lt;6,COUNTIF(휴일!$A$2:$A$2,AD$5)=0),2,IF(AND(ISNUMBER($K63),AD$5&gt;=$K63,AD$5&lt;=$L63,WEEKDAY(AD$5,2)&lt;6,COUNTIF(휴일!$A$2:$A$2,AD$5)=0),1,""))</f>
        <v/>
      </c>
      <c r="AE63" s="32" t="str">
        <f aca="false">IF(AND(ISNUMBER($M63),AE$5&gt;=$M63,AE$5&lt;=IF($N63="",$L$1,$N63),WEEKDAY(AE$5,2)&lt;6,COUNTIF(휴일!$A$2:$A$2,AE$5)=0),2,IF(AND(ISNUMBER($K63),AE$5&gt;=$K63,AE$5&lt;=$L63,WEEKDAY(AE$5,2)&lt;6,COUNTIF(휴일!$A$2:$A$2,AE$5)=0),1,""))</f>
        <v/>
      </c>
      <c r="AF63" s="25" t="s">
        <v>36</v>
      </c>
      <c r="AG63" s="26"/>
      <c r="AH63" s="26"/>
    </row>
    <row r="64" customFormat="false" ht="54" hidden="false" customHeight="true" outlineLevel="0" collapsed="false">
      <c r="A64" s="2"/>
      <c r="B64" s="14" t="n">
        <v>5</v>
      </c>
      <c r="C64" s="15" t="n">
        <v>0.165289256198347</v>
      </c>
      <c r="D64" s="16" t="s">
        <v>156</v>
      </c>
      <c r="E64" s="16"/>
      <c r="F64" s="17" t="s">
        <v>157</v>
      </c>
      <c r="G64" s="17"/>
      <c r="H64" s="17" t="s">
        <v>33</v>
      </c>
      <c r="I64" s="17" t="s">
        <v>34</v>
      </c>
      <c r="J64" s="17" t="s">
        <v>158</v>
      </c>
      <c r="K64" s="18" t="n">
        <v>46308</v>
      </c>
      <c r="L64" s="18" t="n">
        <v>46308</v>
      </c>
      <c r="M64" s="19"/>
      <c r="N64" s="19"/>
      <c r="O64" s="20" t="n">
        <f aca="false">IF(OR(K64="",L64=""),"",IF(L64&lt;K64,"날짜 확인",NETWORKDAYS(K64,L64,휴일!$A$2:$A$2)))</f>
        <v>1</v>
      </c>
      <c r="P64" s="20" t="str">
        <f aca="false">IF(OR(M64="",N64=""),"",IF(N64&lt;M64,"날짜 확인",NETWORKDAYS(M64,N64,휴일!$A$2:$A$2)))</f>
        <v/>
      </c>
      <c r="Q64" s="20" t="n">
        <f aca="false">IF(O64="","",IF($L$1&lt;K64,0,NETWORKDAYS(K64,MIN($L$1,L64),휴일!$A$2:$A$2)))</f>
        <v>1</v>
      </c>
      <c r="R64" s="20" t="str">
        <f aca="false">IF(M64="","",IF($L$1&lt;M64,0,NETWORKDAYS(M64,IF(N64="",$L$1,MIN($L$1,N64)),휴일!$A$2:$A$2)))</f>
        <v/>
      </c>
      <c r="S64" s="21" t="n">
        <f aca="false">IF(O64="","",IF(O64=0,0,Q64/O64))</f>
        <v>1</v>
      </c>
      <c r="T64" s="22" t="n">
        <f aca="false">IF(OR(AND(AG64&lt;&gt;"",OR(NOT(ISNUMBER(AG64)),AG64&lt;=0)),AND(AH64&lt;&gt;"",OR(NOT(ISNUMBER(AH64)),AH64&lt;0)),AND(ISNUMBER(AG64),ISNUMBER(AH64),AH64&gt;AG64)),"수량 확인",IF(AF64="완료",1,IF(AF64="미착수",0,IF(AND(ISNUMBER(AG64),ISNUMBER(AH64)),AH64/AG64,""))))</f>
        <v>0</v>
      </c>
      <c r="U64" s="21" t="n">
        <f aca="false">IF(T64="","",T64)</f>
        <v>0</v>
      </c>
      <c r="V64" s="21" t="n">
        <f aca="false">IF(OR(U64="",S64=""),"",U64-S64)</f>
        <v>-1</v>
      </c>
      <c r="W64" s="23" t="str">
        <f aca="false">IF(AND(ISNUMBER($M64),W$5&gt;=$M64,W$5&lt;=IF($N64="",$L$1,$N64),WEEKDAY(W$5,2)&lt;6,COUNTIF(휴일!$A$2:$A$2,W$5)=0),2,IF(AND(ISNUMBER($K64),W$5&gt;=$K64,W$5&lt;=$L64,WEEKDAY(W$5,2)&lt;6,COUNTIF(휴일!$A$2:$A$2,W$5)=0),1,""))</f>
        <v/>
      </c>
      <c r="X64" s="23" t="str">
        <f aca="false">IF(AND(ISNUMBER($M64),X$5&gt;=$M64,X$5&lt;=IF($N64="",$L$1,$N64),WEEKDAY(X$5,2)&lt;6,COUNTIF(휴일!$A$2:$A$2,X$5)=0),2,IF(AND(ISNUMBER($K64),X$5&gt;=$K64,X$5&lt;=$L64,WEEKDAY(X$5,2)&lt;6,COUNTIF(휴일!$A$2:$A$2,X$5)=0),1,""))</f>
        <v/>
      </c>
      <c r="Y64" s="23" t="str">
        <f aca="false">IF(AND(ISNUMBER($M64),Y$5&gt;=$M64,Y$5&lt;=IF($N64="",$L$1,$N64),WEEKDAY(Y$5,2)&lt;6,COUNTIF(휴일!$A$2:$A$2,Y$5)=0),2,IF(AND(ISNUMBER($K64),Y$5&gt;=$K64,Y$5&lt;=$L64,WEEKDAY(Y$5,2)&lt;6,COUNTIF(휴일!$A$2:$A$2,Y$5)=0),1,""))</f>
        <v/>
      </c>
      <c r="Z64" s="24" t="str">
        <f aca="false">IF(AND(ISNUMBER($M64),Z$5&gt;=$M64,Z$5&lt;=IF($N64="",$L$1,$N64),WEEKDAY(Z$5,2)&lt;6,COUNTIF(휴일!$A$2:$A$2,Z$5)=0),2,IF(AND(ISNUMBER($K64),Z$5&gt;=$K64,Z$5&lt;=$L64,WEEKDAY(Z$5,2)&lt;6,COUNTIF(휴일!$A$2:$A$2,Z$5)=0),1,""))</f>
        <v/>
      </c>
      <c r="AA64" s="24" t="str">
        <f aca="false">IF(AND(ISNUMBER($M64),AA$5&gt;=$M64,AA$5&lt;=IF($N64="",$L$1,$N64),WEEKDAY(AA$5,2)&lt;6,COUNTIF(휴일!$A$2:$A$2,AA$5)=0),2,IF(AND(ISNUMBER($K64),AA$5&gt;=$K64,AA$5&lt;=$L64,WEEKDAY(AA$5,2)&lt;6,COUNTIF(휴일!$A$2:$A$2,AA$5)=0),1,""))</f>
        <v/>
      </c>
      <c r="AB64" s="24" t="str">
        <f aca="false">IF(AND(ISNUMBER($M64),AB$5&gt;=$M64,AB$5&lt;=IF($N64="",$L$1,$N64),WEEKDAY(AB$5,2)&lt;6,COUNTIF(휴일!$A$2:$A$2,AB$5)=0),2,IF(AND(ISNUMBER($K64),AB$5&gt;=$K64,AB$5&lt;=$L64,WEEKDAY(AB$5,2)&lt;6,COUNTIF(휴일!$A$2:$A$2,AB$5)=0),1,""))</f>
        <v/>
      </c>
      <c r="AC64" s="23" t="str">
        <f aca="false">IF(AND(ISNUMBER($M64),AC$5&gt;=$M64,AC$5&lt;=IF($N64="",$L$1,$N64),WEEKDAY(AC$5,2)&lt;6,COUNTIF(휴일!$A$2:$A$2,AC$5)=0),2,IF(AND(ISNUMBER($K64),AC$5&gt;=$K64,AC$5&lt;=$L64,WEEKDAY(AC$5,2)&lt;6,COUNTIF(휴일!$A$2:$A$2,AC$5)=0),1,""))</f>
        <v/>
      </c>
      <c r="AD64" s="23" t="n">
        <f aca="false">IF(AND(ISNUMBER($M64),AD$5&gt;=$M64,AD$5&lt;=IF($N64="",$L$1,$N64),WEEKDAY(AD$5,2)&lt;6,COUNTIF(휴일!$A$2:$A$2,AD$5)=0),2,IF(AND(ISNUMBER($K64),AD$5&gt;=$K64,AD$5&lt;=$L64,WEEKDAY(AD$5,2)&lt;6,COUNTIF(휴일!$A$2:$A$2,AD$5)=0),1,""))</f>
        <v>1</v>
      </c>
      <c r="AE64" s="23" t="str">
        <f aca="false">IF(AND(ISNUMBER($M64),AE$5&gt;=$M64,AE$5&lt;=IF($N64="",$L$1,$N64),WEEKDAY(AE$5,2)&lt;6,COUNTIF(휴일!$A$2:$A$2,AE$5)=0),2,IF(AND(ISNUMBER($K64),AE$5&gt;=$K64,AE$5&lt;=$L64,WEEKDAY(AE$5,2)&lt;6,COUNTIF(휴일!$A$2:$A$2,AE$5)=0),1,""))</f>
        <v/>
      </c>
      <c r="AF64" s="25" t="s">
        <v>159</v>
      </c>
      <c r="AG64" s="26"/>
      <c r="AH64" s="26"/>
    </row>
    <row r="65" customFormat="false" ht="69.75" hidden="false" customHeight="true" outlineLevel="0" collapsed="false">
      <c r="A65" s="2"/>
      <c r="B65" s="14"/>
      <c r="C65" s="14"/>
      <c r="D65" s="16"/>
      <c r="E65" s="16"/>
      <c r="F65" s="27" t="s">
        <v>160</v>
      </c>
      <c r="G65" s="27"/>
      <c r="H65" s="27" t="s">
        <v>34</v>
      </c>
      <c r="I65" s="27" t="s">
        <v>33</v>
      </c>
      <c r="J65" s="27" t="s">
        <v>161</v>
      </c>
      <c r="K65" s="28" t="n">
        <v>46308</v>
      </c>
      <c r="L65" s="28" t="n">
        <v>46308</v>
      </c>
      <c r="M65" s="34" t="n">
        <v>46308</v>
      </c>
      <c r="N65" s="34" t="n">
        <v>46308</v>
      </c>
      <c r="O65" s="29" t="n">
        <f aca="false">IF(OR(K65="",L65=""),"",IF(L65&lt;K65,"날짜 확인",NETWORKDAYS(K65,L65,휴일!$A$2:$A$2)))</f>
        <v>1</v>
      </c>
      <c r="P65" s="29" t="n">
        <f aca="false">IF(OR(M65="",N65=""),"",IF(N65&lt;M65,"날짜 확인",NETWORKDAYS(M65,N65,휴일!$A$2:$A$2)))</f>
        <v>1</v>
      </c>
      <c r="Q65" s="29" t="n">
        <f aca="false">IF(O65="","",IF($L$1&lt;K65,0,NETWORKDAYS(K65,MIN($L$1,L65),휴일!$A$2:$A$2)))</f>
        <v>1</v>
      </c>
      <c r="R65" s="29" t="n">
        <f aca="false">IF(M65="","",IF($L$1&lt;M65,0,NETWORKDAYS(M65,IF(N65="",$L$1,MIN($L$1,N65)),휴일!$A$2:$A$2)))</f>
        <v>1</v>
      </c>
      <c r="S65" s="30" t="n">
        <f aca="false">IF(O65="","",IF(O65=0,0,Q65/O65))</f>
        <v>1</v>
      </c>
      <c r="T65" s="31" t="n">
        <f aca="false">IF(OR(AND(AG65&lt;&gt;"",OR(NOT(ISNUMBER(AG65)),AG65&lt;=0)),AND(AH65&lt;&gt;"",OR(NOT(ISNUMBER(AH65)),AH65&lt;0)),AND(ISNUMBER(AG65),ISNUMBER(AH65),AH65&gt;AG65)),"수량 확인",IF(AF65="완료",1,IF(AF65="미착수",0,IF(AND(ISNUMBER(AG65),ISNUMBER(AH65)),AH65/AG65,""))))</f>
        <v>1</v>
      </c>
      <c r="U65" s="30" t="n">
        <f aca="false">IF(T65="","",T65)</f>
        <v>1</v>
      </c>
      <c r="V65" s="30" t="n">
        <f aca="false">IF(OR(U65="",S65=""),"",U65-S65)</f>
        <v>0</v>
      </c>
      <c r="W65" s="32" t="str">
        <f aca="false">IF(AND(ISNUMBER($M65),W$5&gt;=$M65,W$5&lt;=IF($N65="",$L$1,$N65),WEEKDAY(W$5,2)&lt;6,COUNTIF(휴일!$A$2:$A$2,W$5)=0),2,IF(AND(ISNUMBER($K65),W$5&gt;=$K65,W$5&lt;=$L65,WEEKDAY(W$5,2)&lt;6,COUNTIF(휴일!$A$2:$A$2,W$5)=0),1,""))</f>
        <v/>
      </c>
      <c r="X65" s="32" t="str">
        <f aca="false">IF(AND(ISNUMBER($M65),X$5&gt;=$M65,X$5&lt;=IF($N65="",$L$1,$N65),WEEKDAY(X$5,2)&lt;6,COUNTIF(휴일!$A$2:$A$2,X$5)=0),2,IF(AND(ISNUMBER($K65),X$5&gt;=$K65,X$5&lt;=$L65,WEEKDAY(X$5,2)&lt;6,COUNTIF(휴일!$A$2:$A$2,X$5)=0),1,""))</f>
        <v/>
      </c>
      <c r="Y65" s="32" t="str">
        <f aca="false">IF(AND(ISNUMBER($M65),Y$5&gt;=$M65,Y$5&lt;=IF($N65="",$L$1,$N65),WEEKDAY(Y$5,2)&lt;6,COUNTIF(휴일!$A$2:$A$2,Y$5)=0),2,IF(AND(ISNUMBER($K65),Y$5&gt;=$K65,Y$5&lt;=$L65,WEEKDAY(Y$5,2)&lt;6,COUNTIF(휴일!$A$2:$A$2,Y$5)=0),1,""))</f>
        <v/>
      </c>
      <c r="Z65" s="33" t="str">
        <f aca="false">IF(AND(ISNUMBER($M65),Z$5&gt;=$M65,Z$5&lt;=IF($N65="",$L$1,$N65),WEEKDAY(Z$5,2)&lt;6,COUNTIF(휴일!$A$2:$A$2,Z$5)=0),2,IF(AND(ISNUMBER($K65),Z$5&gt;=$K65,Z$5&lt;=$L65,WEEKDAY(Z$5,2)&lt;6,COUNTIF(휴일!$A$2:$A$2,Z$5)=0),1,""))</f>
        <v/>
      </c>
      <c r="AA65" s="33" t="str">
        <f aca="false">IF(AND(ISNUMBER($M65),AA$5&gt;=$M65,AA$5&lt;=IF($N65="",$L$1,$N65),WEEKDAY(AA$5,2)&lt;6,COUNTIF(휴일!$A$2:$A$2,AA$5)=0),2,IF(AND(ISNUMBER($K65),AA$5&gt;=$K65,AA$5&lt;=$L65,WEEKDAY(AA$5,2)&lt;6,COUNTIF(휴일!$A$2:$A$2,AA$5)=0),1,""))</f>
        <v/>
      </c>
      <c r="AB65" s="33" t="str">
        <f aca="false">IF(AND(ISNUMBER($M65),AB$5&gt;=$M65,AB$5&lt;=IF($N65="",$L$1,$N65),WEEKDAY(AB$5,2)&lt;6,COUNTIF(휴일!$A$2:$A$2,AB$5)=0),2,IF(AND(ISNUMBER($K65),AB$5&gt;=$K65,AB$5&lt;=$L65,WEEKDAY(AB$5,2)&lt;6,COUNTIF(휴일!$A$2:$A$2,AB$5)=0),1,""))</f>
        <v/>
      </c>
      <c r="AC65" s="32" t="str">
        <f aca="false">IF(AND(ISNUMBER($M65),AC$5&gt;=$M65,AC$5&lt;=IF($N65="",$L$1,$N65),WEEKDAY(AC$5,2)&lt;6,COUNTIF(휴일!$A$2:$A$2,AC$5)=0),2,IF(AND(ISNUMBER($K65),AC$5&gt;=$K65,AC$5&lt;=$L65,WEEKDAY(AC$5,2)&lt;6,COUNTIF(휴일!$A$2:$A$2,AC$5)=0),1,""))</f>
        <v/>
      </c>
      <c r="AD65" s="32" t="n">
        <f aca="false">IF(AND(ISNUMBER($M65),AD$5&gt;=$M65,AD$5&lt;=IF($N65="",$L$1,$N65),WEEKDAY(AD$5,2)&lt;6,COUNTIF(휴일!$A$2:$A$2,AD$5)=0),2,IF(AND(ISNUMBER($K65),AD$5&gt;=$K65,AD$5&lt;=$L65,WEEKDAY(AD$5,2)&lt;6,COUNTIF(휴일!$A$2:$A$2,AD$5)=0),1,""))</f>
        <v>2</v>
      </c>
      <c r="AE65" s="32" t="str">
        <f aca="false">IF(AND(ISNUMBER($M65),AE$5&gt;=$M65,AE$5&lt;=IF($N65="",$L$1,$N65),WEEKDAY(AE$5,2)&lt;6,COUNTIF(휴일!$A$2:$A$2,AE$5)=0),2,IF(AND(ISNUMBER($K65),AE$5&gt;=$K65,AE$5&lt;=$L65,WEEKDAY(AE$5,2)&lt;6,COUNTIF(휴일!$A$2:$A$2,AE$5)=0),1,""))</f>
        <v/>
      </c>
      <c r="AF65" s="25" t="s">
        <v>36</v>
      </c>
      <c r="AG65" s="26"/>
      <c r="AH65" s="26"/>
    </row>
    <row r="66" customFormat="false" ht="54" hidden="false" customHeight="true" outlineLevel="0" collapsed="false">
      <c r="A66" s="2"/>
      <c r="B66" s="14"/>
      <c r="C66" s="14"/>
      <c r="D66" s="16"/>
      <c r="E66" s="16"/>
      <c r="F66" s="27" t="s">
        <v>162</v>
      </c>
      <c r="G66" s="27"/>
      <c r="H66" s="27" t="s">
        <v>33</v>
      </c>
      <c r="I66" s="27" t="s">
        <v>34</v>
      </c>
      <c r="J66" s="27" t="s">
        <v>163</v>
      </c>
      <c r="K66" s="28" t="n">
        <v>46308</v>
      </c>
      <c r="L66" s="28" t="n">
        <v>46308</v>
      </c>
      <c r="M66" s="34"/>
      <c r="N66" s="34"/>
      <c r="O66" s="29" t="n">
        <f aca="false">IF(OR(K66="",L66=""),"",IF(L66&lt;K66,"날짜 확인",NETWORKDAYS(K66,L66,휴일!$A$2:$A$2)))</f>
        <v>1</v>
      </c>
      <c r="P66" s="29" t="str">
        <f aca="false">IF(OR(M66="",N66=""),"",IF(N66&lt;M66,"날짜 확인",NETWORKDAYS(M66,N66,휴일!$A$2:$A$2)))</f>
        <v/>
      </c>
      <c r="Q66" s="29" t="n">
        <f aca="false">IF(O66="","",IF($L$1&lt;K66,0,NETWORKDAYS(K66,MIN($L$1,L66),휴일!$A$2:$A$2)))</f>
        <v>1</v>
      </c>
      <c r="R66" s="29" t="str">
        <f aca="false">IF(M66="","",IF($L$1&lt;M66,0,NETWORKDAYS(M66,IF(N66="",$L$1,MIN($L$1,N66)),휴일!$A$2:$A$2)))</f>
        <v/>
      </c>
      <c r="S66" s="30" t="n">
        <f aca="false">IF(O66="","",IF(O66=0,0,Q66/O66))</f>
        <v>1</v>
      </c>
      <c r="T66" s="31" t="n">
        <f aca="false">IF(OR(AND(AG66&lt;&gt;"",OR(NOT(ISNUMBER(AG66)),AG66&lt;=0)),AND(AH66&lt;&gt;"",OR(NOT(ISNUMBER(AH66)),AH66&lt;0)),AND(ISNUMBER(AG66),ISNUMBER(AH66),AH66&gt;AG66)),"수량 확인",IF(AF66="완료",1,IF(AF66="미착수",0,IF(AND(ISNUMBER(AG66),ISNUMBER(AH66)),AH66/AG66,""))))</f>
        <v>0</v>
      </c>
      <c r="U66" s="30" t="n">
        <f aca="false">IF(T66="","",T66)</f>
        <v>0</v>
      </c>
      <c r="V66" s="30" t="n">
        <f aca="false">IF(OR(U66="",S66=""),"",U66-S66)</f>
        <v>-1</v>
      </c>
      <c r="W66" s="32" t="str">
        <f aca="false">IF(AND(ISNUMBER($M66),W$5&gt;=$M66,W$5&lt;=IF($N66="",$L$1,$N66),WEEKDAY(W$5,2)&lt;6,COUNTIF(휴일!$A$2:$A$2,W$5)=0),2,IF(AND(ISNUMBER($K66),W$5&gt;=$K66,W$5&lt;=$L66,WEEKDAY(W$5,2)&lt;6,COUNTIF(휴일!$A$2:$A$2,W$5)=0),1,""))</f>
        <v/>
      </c>
      <c r="X66" s="32" t="str">
        <f aca="false">IF(AND(ISNUMBER($M66),X$5&gt;=$M66,X$5&lt;=IF($N66="",$L$1,$N66),WEEKDAY(X$5,2)&lt;6,COUNTIF(휴일!$A$2:$A$2,X$5)=0),2,IF(AND(ISNUMBER($K66),X$5&gt;=$K66,X$5&lt;=$L66,WEEKDAY(X$5,2)&lt;6,COUNTIF(휴일!$A$2:$A$2,X$5)=0),1,""))</f>
        <v/>
      </c>
      <c r="Y66" s="32" t="str">
        <f aca="false">IF(AND(ISNUMBER($M66),Y$5&gt;=$M66,Y$5&lt;=IF($N66="",$L$1,$N66),WEEKDAY(Y$5,2)&lt;6,COUNTIF(휴일!$A$2:$A$2,Y$5)=0),2,IF(AND(ISNUMBER($K66),Y$5&gt;=$K66,Y$5&lt;=$L66,WEEKDAY(Y$5,2)&lt;6,COUNTIF(휴일!$A$2:$A$2,Y$5)=0),1,""))</f>
        <v/>
      </c>
      <c r="Z66" s="33" t="str">
        <f aca="false">IF(AND(ISNUMBER($M66),Z$5&gt;=$M66,Z$5&lt;=IF($N66="",$L$1,$N66),WEEKDAY(Z$5,2)&lt;6,COUNTIF(휴일!$A$2:$A$2,Z$5)=0),2,IF(AND(ISNUMBER($K66),Z$5&gt;=$K66,Z$5&lt;=$L66,WEEKDAY(Z$5,2)&lt;6,COUNTIF(휴일!$A$2:$A$2,Z$5)=0),1,""))</f>
        <v/>
      </c>
      <c r="AA66" s="33" t="str">
        <f aca="false">IF(AND(ISNUMBER($M66),AA$5&gt;=$M66,AA$5&lt;=IF($N66="",$L$1,$N66),WEEKDAY(AA$5,2)&lt;6,COUNTIF(휴일!$A$2:$A$2,AA$5)=0),2,IF(AND(ISNUMBER($K66),AA$5&gt;=$K66,AA$5&lt;=$L66,WEEKDAY(AA$5,2)&lt;6,COUNTIF(휴일!$A$2:$A$2,AA$5)=0),1,""))</f>
        <v/>
      </c>
      <c r="AB66" s="33" t="str">
        <f aca="false">IF(AND(ISNUMBER($M66),AB$5&gt;=$M66,AB$5&lt;=IF($N66="",$L$1,$N66),WEEKDAY(AB$5,2)&lt;6,COUNTIF(휴일!$A$2:$A$2,AB$5)=0),2,IF(AND(ISNUMBER($K66),AB$5&gt;=$K66,AB$5&lt;=$L66,WEEKDAY(AB$5,2)&lt;6,COUNTIF(휴일!$A$2:$A$2,AB$5)=0),1,""))</f>
        <v/>
      </c>
      <c r="AC66" s="32" t="str">
        <f aca="false">IF(AND(ISNUMBER($M66),AC$5&gt;=$M66,AC$5&lt;=IF($N66="",$L$1,$N66),WEEKDAY(AC$5,2)&lt;6,COUNTIF(휴일!$A$2:$A$2,AC$5)=0),2,IF(AND(ISNUMBER($K66),AC$5&gt;=$K66,AC$5&lt;=$L66,WEEKDAY(AC$5,2)&lt;6,COUNTIF(휴일!$A$2:$A$2,AC$5)=0),1,""))</f>
        <v/>
      </c>
      <c r="AD66" s="32" t="n">
        <f aca="false">IF(AND(ISNUMBER($M66),AD$5&gt;=$M66,AD$5&lt;=IF($N66="",$L$1,$N66),WEEKDAY(AD$5,2)&lt;6,COUNTIF(휴일!$A$2:$A$2,AD$5)=0),2,IF(AND(ISNUMBER($K66),AD$5&gt;=$K66,AD$5&lt;=$L66,WEEKDAY(AD$5,2)&lt;6,COUNTIF(휴일!$A$2:$A$2,AD$5)=0),1,""))</f>
        <v>1</v>
      </c>
      <c r="AE66" s="32" t="str">
        <f aca="false">IF(AND(ISNUMBER($M66),AE$5&gt;=$M66,AE$5&lt;=IF($N66="",$L$1,$N66),WEEKDAY(AE$5,2)&lt;6,COUNTIF(휴일!$A$2:$A$2,AE$5)=0),2,IF(AND(ISNUMBER($K66),AE$5&gt;=$K66,AE$5&lt;=$L66,WEEKDAY(AE$5,2)&lt;6,COUNTIF(휴일!$A$2:$A$2,AE$5)=0),1,""))</f>
        <v/>
      </c>
      <c r="AF66" s="25" t="s">
        <v>159</v>
      </c>
      <c r="AG66" s="26"/>
      <c r="AH66" s="26"/>
    </row>
    <row r="67" customFormat="false" ht="54" hidden="false" customHeight="true" outlineLevel="0" collapsed="false">
      <c r="A67" s="2"/>
      <c r="B67" s="14"/>
      <c r="C67" s="14"/>
      <c r="D67" s="16"/>
      <c r="E67" s="16"/>
      <c r="F67" s="27" t="s">
        <v>164</v>
      </c>
      <c r="G67" s="27"/>
      <c r="H67" s="27" t="s">
        <v>33</v>
      </c>
      <c r="I67" s="27" t="s">
        <v>34</v>
      </c>
      <c r="J67" s="27" t="s">
        <v>165</v>
      </c>
      <c r="K67" s="28" t="n">
        <v>46308</v>
      </c>
      <c r="L67" s="28" t="n">
        <v>46308</v>
      </c>
      <c r="M67" s="34"/>
      <c r="N67" s="34"/>
      <c r="O67" s="29" t="n">
        <f aca="false">IF(OR(K67="",L67=""),"",IF(L67&lt;K67,"날짜 확인",NETWORKDAYS(K67,L67,휴일!$A$2:$A$2)))</f>
        <v>1</v>
      </c>
      <c r="P67" s="29" t="str">
        <f aca="false">IF(OR(M67="",N67=""),"",IF(N67&lt;M67,"날짜 확인",NETWORKDAYS(M67,N67,휴일!$A$2:$A$2)))</f>
        <v/>
      </c>
      <c r="Q67" s="29" t="n">
        <f aca="false">IF(O67="","",IF($L$1&lt;K67,0,NETWORKDAYS(K67,MIN($L$1,L67),휴일!$A$2:$A$2)))</f>
        <v>1</v>
      </c>
      <c r="R67" s="29" t="str">
        <f aca="false">IF(M67="","",IF($L$1&lt;M67,0,NETWORKDAYS(M67,IF(N67="",$L$1,MIN($L$1,N67)),휴일!$A$2:$A$2)))</f>
        <v/>
      </c>
      <c r="S67" s="30" t="n">
        <f aca="false">IF(O67="","",IF(O67=0,0,Q67/O67))</f>
        <v>1</v>
      </c>
      <c r="T67" s="31" t="n">
        <f aca="false">IF(OR(AND(AG67&lt;&gt;"",OR(NOT(ISNUMBER(AG67)),AG67&lt;=0)),AND(AH67&lt;&gt;"",OR(NOT(ISNUMBER(AH67)),AH67&lt;0)),AND(ISNUMBER(AG67),ISNUMBER(AH67),AH67&gt;AG67)),"수량 확인",IF(AF67="완료",1,IF(AF67="미착수",0,IF(AND(ISNUMBER(AG67),ISNUMBER(AH67)),AH67/AG67,""))))</f>
        <v>0</v>
      </c>
      <c r="U67" s="30" t="n">
        <f aca="false">IF(T67="","",T67)</f>
        <v>0</v>
      </c>
      <c r="V67" s="30" t="n">
        <f aca="false">IF(OR(U67="",S67=""),"",U67-S67)</f>
        <v>-1</v>
      </c>
      <c r="W67" s="32" t="str">
        <f aca="false">IF(AND(ISNUMBER($M67),W$5&gt;=$M67,W$5&lt;=IF($N67="",$L$1,$N67),WEEKDAY(W$5,2)&lt;6,COUNTIF(휴일!$A$2:$A$2,W$5)=0),2,IF(AND(ISNUMBER($K67),W$5&gt;=$K67,W$5&lt;=$L67,WEEKDAY(W$5,2)&lt;6,COUNTIF(휴일!$A$2:$A$2,W$5)=0),1,""))</f>
        <v/>
      </c>
      <c r="X67" s="32" t="str">
        <f aca="false">IF(AND(ISNUMBER($M67),X$5&gt;=$M67,X$5&lt;=IF($N67="",$L$1,$N67),WEEKDAY(X$5,2)&lt;6,COUNTIF(휴일!$A$2:$A$2,X$5)=0),2,IF(AND(ISNUMBER($K67),X$5&gt;=$K67,X$5&lt;=$L67,WEEKDAY(X$5,2)&lt;6,COUNTIF(휴일!$A$2:$A$2,X$5)=0),1,""))</f>
        <v/>
      </c>
      <c r="Y67" s="32" t="str">
        <f aca="false">IF(AND(ISNUMBER($M67),Y$5&gt;=$M67,Y$5&lt;=IF($N67="",$L$1,$N67),WEEKDAY(Y$5,2)&lt;6,COUNTIF(휴일!$A$2:$A$2,Y$5)=0),2,IF(AND(ISNUMBER($K67),Y$5&gt;=$K67,Y$5&lt;=$L67,WEEKDAY(Y$5,2)&lt;6,COUNTIF(휴일!$A$2:$A$2,Y$5)=0),1,""))</f>
        <v/>
      </c>
      <c r="Z67" s="33" t="str">
        <f aca="false">IF(AND(ISNUMBER($M67),Z$5&gt;=$M67,Z$5&lt;=IF($N67="",$L$1,$N67),WEEKDAY(Z$5,2)&lt;6,COUNTIF(휴일!$A$2:$A$2,Z$5)=0),2,IF(AND(ISNUMBER($K67),Z$5&gt;=$K67,Z$5&lt;=$L67,WEEKDAY(Z$5,2)&lt;6,COUNTIF(휴일!$A$2:$A$2,Z$5)=0),1,""))</f>
        <v/>
      </c>
      <c r="AA67" s="33" t="str">
        <f aca="false">IF(AND(ISNUMBER($M67),AA$5&gt;=$M67,AA$5&lt;=IF($N67="",$L$1,$N67),WEEKDAY(AA$5,2)&lt;6,COUNTIF(휴일!$A$2:$A$2,AA$5)=0),2,IF(AND(ISNUMBER($K67),AA$5&gt;=$K67,AA$5&lt;=$L67,WEEKDAY(AA$5,2)&lt;6,COUNTIF(휴일!$A$2:$A$2,AA$5)=0),1,""))</f>
        <v/>
      </c>
      <c r="AB67" s="33" t="str">
        <f aca="false">IF(AND(ISNUMBER($M67),AB$5&gt;=$M67,AB$5&lt;=IF($N67="",$L$1,$N67),WEEKDAY(AB$5,2)&lt;6,COUNTIF(휴일!$A$2:$A$2,AB$5)=0),2,IF(AND(ISNUMBER($K67),AB$5&gt;=$K67,AB$5&lt;=$L67,WEEKDAY(AB$5,2)&lt;6,COUNTIF(휴일!$A$2:$A$2,AB$5)=0),1,""))</f>
        <v/>
      </c>
      <c r="AC67" s="32" t="str">
        <f aca="false">IF(AND(ISNUMBER($M67),AC$5&gt;=$M67,AC$5&lt;=IF($N67="",$L$1,$N67),WEEKDAY(AC$5,2)&lt;6,COUNTIF(휴일!$A$2:$A$2,AC$5)=0),2,IF(AND(ISNUMBER($K67),AC$5&gt;=$K67,AC$5&lt;=$L67,WEEKDAY(AC$5,2)&lt;6,COUNTIF(휴일!$A$2:$A$2,AC$5)=0),1,""))</f>
        <v/>
      </c>
      <c r="AD67" s="32" t="n">
        <f aca="false">IF(AND(ISNUMBER($M67),AD$5&gt;=$M67,AD$5&lt;=IF($N67="",$L$1,$N67),WEEKDAY(AD$5,2)&lt;6,COUNTIF(휴일!$A$2:$A$2,AD$5)=0),2,IF(AND(ISNUMBER($K67),AD$5&gt;=$K67,AD$5&lt;=$L67,WEEKDAY(AD$5,2)&lt;6,COUNTIF(휴일!$A$2:$A$2,AD$5)=0),1,""))</f>
        <v>1</v>
      </c>
      <c r="AE67" s="32" t="str">
        <f aca="false">IF(AND(ISNUMBER($M67),AE$5&gt;=$M67,AE$5&lt;=IF($N67="",$L$1,$N67),WEEKDAY(AE$5,2)&lt;6,COUNTIF(휴일!$A$2:$A$2,AE$5)=0),2,IF(AND(ISNUMBER($K67),AE$5&gt;=$K67,AE$5&lt;=$L67,WEEKDAY(AE$5,2)&lt;6,COUNTIF(휴일!$A$2:$A$2,AE$5)=0),1,""))</f>
        <v/>
      </c>
      <c r="AF67" s="25" t="s">
        <v>159</v>
      </c>
      <c r="AG67" s="26"/>
      <c r="AH67" s="26"/>
    </row>
    <row r="68" customFormat="false" ht="54" hidden="false" customHeight="true" outlineLevel="0" collapsed="false">
      <c r="A68" s="2"/>
      <c r="B68" s="14"/>
      <c r="C68" s="14"/>
      <c r="D68" s="16"/>
      <c r="E68" s="16"/>
      <c r="F68" s="27" t="s">
        <v>166</v>
      </c>
      <c r="G68" s="27"/>
      <c r="H68" s="27" t="s">
        <v>34</v>
      </c>
      <c r="I68" s="27" t="s">
        <v>33</v>
      </c>
      <c r="J68" s="27" t="s">
        <v>167</v>
      </c>
      <c r="K68" s="28" t="n">
        <v>46308</v>
      </c>
      <c r="L68" s="28" t="n">
        <v>46308</v>
      </c>
      <c r="M68" s="34"/>
      <c r="N68" s="34"/>
      <c r="O68" s="29" t="n">
        <f aca="false">IF(OR(K68="",L68=""),"",IF(L68&lt;K68,"날짜 확인",NETWORKDAYS(K68,L68,휴일!$A$2:$A$2)))</f>
        <v>1</v>
      </c>
      <c r="P68" s="29" t="str">
        <f aca="false">IF(OR(M68="",N68=""),"",IF(N68&lt;M68,"날짜 확인",NETWORKDAYS(M68,N68,휴일!$A$2:$A$2)))</f>
        <v/>
      </c>
      <c r="Q68" s="29" t="n">
        <f aca="false">IF(O68="","",IF($L$1&lt;K68,0,NETWORKDAYS(K68,MIN($L$1,L68),휴일!$A$2:$A$2)))</f>
        <v>1</v>
      </c>
      <c r="R68" s="29" t="str">
        <f aca="false">IF(M68="","",IF($L$1&lt;M68,0,NETWORKDAYS(M68,IF(N68="",$L$1,MIN($L$1,N68)),휴일!$A$2:$A$2)))</f>
        <v/>
      </c>
      <c r="S68" s="30" t="n">
        <f aca="false">IF(O68="","",IF(O68=0,0,Q68/O68))</f>
        <v>1</v>
      </c>
      <c r="T68" s="31" t="n">
        <f aca="false">IF(OR(AND(AG68&lt;&gt;"",OR(NOT(ISNUMBER(AG68)),AG68&lt;=0)),AND(AH68&lt;&gt;"",OR(NOT(ISNUMBER(AH68)),AH68&lt;0)),AND(ISNUMBER(AG68),ISNUMBER(AH68),AH68&gt;AG68)),"수량 확인",IF(AF68="완료",1,IF(AF68="미착수",0,IF(AND(ISNUMBER(AG68),ISNUMBER(AH68)),AH68/AG68,""))))</f>
        <v>0</v>
      </c>
      <c r="U68" s="30" t="n">
        <f aca="false">IF(T68="","",T68)</f>
        <v>0</v>
      </c>
      <c r="V68" s="30" t="n">
        <f aca="false">IF(OR(U68="",S68=""),"",U68-S68)</f>
        <v>-1</v>
      </c>
      <c r="W68" s="32" t="str">
        <f aca="false">IF(AND(ISNUMBER($M68),W$5&gt;=$M68,W$5&lt;=IF($N68="",$L$1,$N68),WEEKDAY(W$5,2)&lt;6,COUNTIF(휴일!$A$2:$A$2,W$5)=0),2,IF(AND(ISNUMBER($K68),W$5&gt;=$K68,W$5&lt;=$L68,WEEKDAY(W$5,2)&lt;6,COUNTIF(휴일!$A$2:$A$2,W$5)=0),1,""))</f>
        <v/>
      </c>
      <c r="X68" s="32" t="str">
        <f aca="false">IF(AND(ISNUMBER($M68),X$5&gt;=$M68,X$5&lt;=IF($N68="",$L$1,$N68),WEEKDAY(X$5,2)&lt;6,COUNTIF(휴일!$A$2:$A$2,X$5)=0),2,IF(AND(ISNUMBER($K68),X$5&gt;=$K68,X$5&lt;=$L68,WEEKDAY(X$5,2)&lt;6,COUNTIF(휴일!$A$2:$A$2,X$5)=0),1,""))</f>
        <v/>
      </c>
      <c r="Y68" s="32" t="str">
        <f aca="false">IF(AND(ISNUMBER($M68),Y$5&gt;=$M68,Y$5&lt;=IF($N68="",$L$1,$N68),WEEKDAY(Y$5,2)&lt;6,COUNTIF(휴일!$A$2:$A$2,Y$5)=0),2,IF(AND(ISNUMBER($K68),Y$5&gt;=$K68,Y$5&lt;=$L68,WEEKDAY(Y$5,2)&lt;6,COUNTIF(휴일!$A$2:$A$2,Y$5)=0),1,""))</f>
        <v/>
      </c>
      <c r="Z68" s="33" t="str">
        <f aca="false">IF(AND(ISNUMBER($M68),Z$5&gt;=$M68,Z$5&lt;=IF($N68="",$L$1,$N68),WEEKDAY(Z$5,2)&lt;6,COUNTIF(휴일!$A$2:$A$2,Z$5)=0),2,IF(AND(ISNUMBER($K68),Z$5&gt;=$K68,Z$5&lt;=$L68,WEEKDAY(Z$5,2)&lt;6,COUNTIF(휴일!$A$2:$A$2,Z$5)=0),1,""))</f>
        <v/>
      </c>
      <c r="AA68" s="33" t="str">
        <f aca="false">IF(AND(ISNUMBER($M68),AA$5&gt;=$M68,AA$5&lt;=IF($N68="",$L$1,$N68),WEEKDAY(AA$5,2)&lt;6,COUNTIF(휴일!$A$2:$A$2,AA$5)=0),2,IF(AND(ISNUMBER($K68),AA$5&gt;=$K68,AA$5&lt;=$L68,WEEKDAY(AA$5,2)&lt;6,COUNTIF(휴일!$A$2:$A$2,AA$5)=0),1,""))</f>
        <v/>
      </c>
      <c r="AB68" s="33" t="str">
        <f aca="false">IF(AND(ISNUMBER($M68),AB$5&gt;=$M68,AB$5&lt;=IF($N68="",$L$1,$N68),WEEKDAY(AB$5,2)&lt;6,COUNTIF(휴일!$A$2:$A$2,AB$5)=0),2,IF(AND(ISNUMBER($K68),AB$5&gt;=$K68,AB$5&lt;=$L68,WEEKDAY(AB$5,2)&lt;6,COUNTIF(휴일!$A$2:$A$2,AB$5)=0),1,""))</f>
        <v/>
      </c>
      <c r="AC68" s="32" t="str">
        <f aca="false">IF(AND(ISNUMBER($M68),AC$5&gt;=$M68,AC$5&lt;=IF($N68="",$L$1,$N68),WEEKDAY(AC$5,2)&lt;6,COUNTIF(휴일!$A$2:$A$2,AC$5)=0),2,IF(AND(ISNUMBER($K68),AC$5&gt;=$K68,AC$5&lt;=$L68,WEEKDAY(AC$5,2)&lt;6,COUNTIF(휴일!$A$2:$A$2,AC$5)=0),1,""))</f>
        <v/>
      </c>
      <c r="AD68" s="32" t="n">
        <f aca="false">IF(AND(ISNUMBER($M68),AD$5&gt;=$M68,AD$5&lt;=IF($N68="",$L$1,$N68),WEEKDAY(AD$5,2)&lt;6,COUNTIF(휴일!$A$2:$A$2,AD$5)=0),2,IF(AND(ISNUMBER($K68),AD$5&gt;=$K68,AD$5&lt;=$L68,WEEKDAY(AD$5,2)&lt;6,COUNTIF(휴일!$A$2:$A$2,AD$5)=0),1,""))</f>
        <v>1</v>
      </c>
      <c r="AE68" s="32" t="str">
        <f aca="false">IF(AND(ISNUMBER($M68),AE$5&gt;=$M68,AE$5&lt;=IF($N68="",$L$1,$N68),WEEKDAY(AE$5,2)&lt;6,COUNTIF(휴일!$A$2:$A$2,AE$5)=0),2,IF(AND(ISNUMBER($K68),AE$5&gt;=$K68,AE$5&lt;=$L68,WEEKDAY(AE$5,2)&lt;6,COUNTIF(휴일!$A$2:$A$2,AE$5)=0),1,""))</f>
        <v/>
      </c>
      <c r="AF68" s="25" t="s">
        <v>159</v>
      </c>
      <c r="AG68" s="26"/>
      <c r="AH68" s="26"/>
    </row>
    <row r="69" customFormat="false" ht="69.75" hidden="false" customHeight="true" outlineLevel="0" collapsed="false">
      <c r="A69" s="2"/>
      <c r="B69" s="14"/>
      <c r="C69" s="14"/>
      <c r="D69" s="16"/>
      <c r="E69" s="16"/>
      <c r="F69" s="27" t="s">
        <v>168</v>
      </c>
      <c r="G69" s="27"/>
      <c r="H69" s="27" t="s">
        <v>34</v>
      </c>
      <c r="I69" s="27" t="s">
        <v>33</v>
      </c>
      <c r="J69" s="27" t="s">
        <v>169</v>
      </c>
      <c r="K69" s="28" t="n">
        <v>46308</v>
      </c>
      <c r="L69" s="28" t="n">
        <v>46308</v>
      </c>
      <c r="M69" s="34" t="n">
        <v>46308</v>
      </c>
      <c r="N69" s="34" t="n">
        <v>46308</v>
      </c>
      <c r="O69" s="29" t="n">
        <f aca="false">IF(OR(K69="",L69=""),"",IF(L69&lt;K69,"날짜 확인",NETWORKDAYS(K69,L69,휴일!$A$2:$A$2)))</f>
        <v>1</v>
      </c>
      <c r="P69" s="29" t="n">
        <f aca="false">IF(OR(M69="",N69=""),"",IF(N69&lt;M69,"날짜 확인",NETWORKDAYS(M69,N69,휴일!$A$2:$A$2)))</f>
        <v>1</v>
      </c>
      <c r="Q69" s="29" t="n">
        <f aca="false">IF(O69="","",IF($L$1&lt;K69,0,NETWORKDAYS(K69,MIN($L$1,L69),휴일!$A$2:$A$2)))</f>
        <v>1</v>
      </c>
      <c r="R69" s="29" t="n">
        <f aca="false">IF(M69="","",IF($L$1&lt;M69,0,NETWORKDAYS(M69,IF(N69="",$L$1,MIN($L$1,N69)),휴일!$A$2:$A$2)))</f>
        <v>1</v>
      </c>
      <c r="S69" s="30" t="n">
        <f aca="false">IF(O69="","",IF(O69=0,0,Q69/O69))</f>
        <v>1</v>
      </c>
      <c r="T69" s="31" t="n">
        <f aca="false">IF(OR(AND(AG69&lt;&gt;"",OR(NOT(ISNUMBER(AG69)),AG69&lt;=0)),AND(AH69&lt;&gt;"",OR(NOT(ISNUMBER(AH69)),AH69&lt;0)),AND(ISNUMBER(AG69),ISNUMBER(AH69),AH69&gt;AG69)),"수량 확인",IF(AF69="완료",1,IF(AF69="미착수",0,IF(AND(ISNUMBER(AG69),ISNUMBER(AH69)),AH69/AG69,""))))</f>
        <v>1</v>
      </c>
      <c r="U69" s="30" t="n">
        <f aca="false">IF(T69="","",T69)</f>
        <v>1</v>
      </c>
      <c r="V69" s="30" t="n">
        <f aca="false">IF(OR(U69="",S69=""),"",U69-S69)</f>
        <v>0</v>
      </c>
      <c r="W69" s="32" t="str">
        <f aca="false">IF(AND(ISNUMBER($M69),W$5&gt;=$M69,W$5&lt;=IF($N69="",$L$1,$N69),WEEKDAY(W$5,2)&lt;6,COUNTIF(휴일!$A$2:$A$2,W$5)=0),2,IF(AND(ISNUMBER($K69),W$5&gt;=$K69,W$5&lt;=$L69,WEEKDAY(W$5,2)&lt;6,COUNTIF(휴일!$A$2:$A$2,W$5)=0),1,""))</f>
        <v/>
      </c>
      <c r="X69" s="32" t="str">
        <f aca="false">IF(AND(ISNUMBER($M69),X$5&gt;=$M69,X$5&lt;=IF($N69="",$L$1,$N69),WEEKDAY(X$5,2)&lt;6,COUNTIF(휴일!$A$2:$A$2,X$5)=0),2,IF(AND(ISNUMBER($K69),X$5&gt;=$K69,X$5&lt;=$L69,WEEKDAY(X$5,2)&lt;6,COUNTIF(휴일!$A$2:$A$2,X$5)=0),1,""))</f>
        <v/>
      </c>
      <c r="Y69" s="32" t="str">
        <f aca="false">IF(AND(ISNUMBER($M69),Y$5&gt;=$M69,Y$5&lt;=IF($N69="",$L$1,$N69),WEEKDAY(Y$5,2)&lt;6,COUNTIF(휴일!$A$2:$A$2,Y$5)=0),2,IF(AND(ISNUMBER($K69),Y$5&gt;=$K69,Y$5&lt;=$L69,WEEKDAY(Y$5,2)&lt;6,COUNTIF(휴일!$A$2:$A$2,Y$5)=0),1,""))</f>
        <v/>
      </c>
      <c r="Z69" s="33" t="str">
        <f aca="false">IF(AND(ISNUMBER($M69),Z$5&gt;=$M69,Z$5&lt;=IF($N69="",$L$1,$N69),WEEKDAY(Z$5,2)&lt;6,COUNTIF(휴일!$A$2:$A$2,Z$5)=0),2,IF(AND(ISNUMBER($K69),Z$5&gt;=$K69,Z$5&lt;=$L69,WEEKDAY(Z$5,2)&lt;6,COUNTIF(휴일!$A$2:$A$2,Z$5)=0),1,""))</f>
        <v/>
      </c>
      <c r="AA69" s="33" t="str">
        <f aca="false">IF(AND(ISNUMBER($M69),AA$5&gt;=$M69,AA$5&lt;=IF($N69="",$L$1,$N69),WEEKDAY(AA$5,2)&lt;6,COUNTIF(휴일!$A$2:$A$2,AA$5)=0),2,IF(AND(ISNUMBER($K69),AA$5&gt;=$K69,AA$5&lt;=$L69,WEEKDAY(AA$5,2)&lt;6,COUNTIF(휴일!$A$2:$A$2,AA$5)=0),1,""))</f>
        <v/>
      </c>
      <c r="AB69" s="33" t="str">
        <f aca="false">IF(AND(ISNUMBER($M69),AB$5&gt;=$M69,AB$5&lt;=IF($N69="",$L$1,$N69),WEEKDAY(AB$5,2)&lt;6,COUNTIF(휴일!$A$2:$A$2,AB$5)=0),2,IF(AND(ISNUMBER($K69),AB$5&gt;=$K69,AB$5&lt;=$L69,WEEKDAY(AB$5,2)&lt;6,COUNTIF(휴일!$A$2:$A$2,AB$5)=0),1,""))</f>
        <v/>
      </c>
      <c r="AC69" s="32" t="str">
        <f aca="false">IF(AND(ISNUMBER($M69),AC$5&gt;=$M69,AC$5&lt;=IF($N69="",$L$1,$N69),WEEKDAY(AC$5,2)&lt;6,COUNTIF(휴일!$A$2:$A$2,AC$5)=0),2,IF(AND(ISNUMBER($K69),AC$5&gt;=$K69,AC$5&lt;=$L69,WEEKDAY(AC$5,2)&lt;6,COUNTIF(휴일!$A$2:$A$2,AC$5)=0),1,""))</f>
        <v/>
      </c>
      <c r="AD69" s="32" t="n">
        <f aca="false">IF(AND(ISNUMBER($M69),AD$5&gt;=$M69,AD$5&lt;=IF($N69="",$L$1,$N69),WEEKDAY(AD$5,2)&lt;6,COUNTIF(휴일!$A$2:$A$2,AD$5)=0),2,IF(AND(ISNUMBER($K69),AD$5&gt;=$K69,AD$5&lt;=$L69,WEEKDAY(AD$5,2)&lt;6,COUNTIF(휴일!$A$2:$A$2,AD$5)=0),1,""))</f>
        <v>2</v>
      </c>
      <c r="AE69" s="32" t="str">
        <f aca="false">IF(AND(ISNUMBER($M69),AE$5&gt;=$M69,AE$5&lt;=IF($N69="",$L$1,$N69),WEEKDAY(AE$5,2)&lt;6,COUNTIF(휴일!$A$2:$A$2,AE$5)=0),2,IF(AND(ISNUMBER($K69),AE$5&gt;=$K69,AE$5&lt;=$L69,WEEKDAY(AE$5,2)&lt;6,COUNTIF(휴일!$A$2:$A$2,AE$5)=0),1,""))</f>
        <v/>
      </c>
      <c r="AF69" s="25" t="s">
        <v>36</v>
      </c>
      <c r="AG69" s="26"/>
      <c r="AH69" s="26"/>
    </row>
    <row r="70" customFormat="false" ht="54" hidden="false" customHeight="true" outlineLevel="0" collapsed="false">
      <c r="A70" s="2"/>
      <c r="B70" s="14"/>
      <c r="C70" s="14"/>
      <c r="D70" s="16"/>
      <c r="E70" s="16"/>
      <c r="F70" s="27" t="s">
        <v>170</v>
      </c>
      <c r="G70" s="27"/>
      <c r="H70" s="27" t="s">
        <v>34</v>
      </c>
      <c r="I70" s="27" t="s">
        <v>33</v>
      </c>
      <c r="J70" s="27" t="s">
        <v>171</v>
      </c>
      <c r="K70" s="28" t="n">
        <v>46308</v>
      </c>
      <c r="L70" s="28" t="n">
        <v>46308</v>
      </c>
      <c r="M70" s="34"/>
      <c r="N70" s="34"/>
      <c r="O70" s="29" t="n">
        <f aca="false">IF(OR(K70="",L70=""),"",IF(L70&lt;K70,"날짜 확인",NETWORKDAYS(K70,L70,휴일!$A$2:$A$2)))</f>
        <v>1</v>
      </c>
      <c r="P70" s="29" t="str">
        <f aca="false">IF(OR(M70="",N70=""),"",IF(N70&lt;M70,"날짜 확인",NETWORKDAYS(M70,N70,휴일!$A$2:$A$2)))</f>
        <v/>
      </c>
      <c r="Q70" s="29" t="n">
        <f aca="false">IF(O70="","",IF($L$1&lt;K70,0,NETWORKDAYS(K70,MIN($L$1,L70),휴일!$A$2:$A$2)))</f>
        <v>1</v>
      </c>
      <c r="R70" s="29" t="str">
        <f aca="false">IF(M70="","",IF($L$1&lt;M70,0,NETWORKDAYS(M70,IF(N70="",$L$1,MIN($L$1,N70)),휴일!$A$2:$A$2)))</f>
        <v/>
      </c>
      <c r="S70" s="30" t="n">
        <f aca="false">IF(O70="","",IF(O70=0,0,Q70/O70))</f>
        <v>1</v>
      </c>
      <c r="T70" s="31" t="n">
        <f aca="false">IF(OR(AND(AG70&lt;&gt;"",OR(NOT(ISNUMBER(AG70)),AG70&lt;=0)),AND(AH70&lt;&gt;"",OR(NOT(ISNUMBER(AH70)),AH70&lt;0)),AND(ISNUMBER(AG70),ISNUMBER(AH70),AH70&gt;AG70)),"수량 확인",IF(AF70="완료",1,IF(AF70="미착수",0,IF(AND(ISNUMBER(AG70),ISNUMBER(AH70)),AH70/AG70,""))))</f>
        <v>0</v>
      </c>
      <c r="U70" s="30" t="n">
        <f aca="false">IF(T70="","",T70)</f>
        <v>0</v>
      </c>
      <c r="V70" s="30" t="n">
        <f aca="false">IF(OR(U70="",S70=""),"",U70-S70)</f>
        <v>-1</v>
      </c>
      <c r="W70" s="32" t="str">
        <f aca="false">IF(AND(ISNUMBER($M70),W$5&gt;=$M70,W$5&lt;=IF($N70="",$L$1,$N70),WEEKDAY(W$5,2)&lt;6,COUNTIF(휴일!$A$2:$A$2,W$5)=0),2,IF(AND(ISNUMBER($K70),W$5&gt;=$K70,W$5&lt;=$L70,WEEKDAY(W$5,2)&lt;6,COUNTIF(휴일!$A$2:$A$2,W$5)=0),1,""))</f>
        <v/>
      </c>
      <c r="X70" s="32" t="str">
        <f aca="false">IF(AND(ISNUMBER($M70),X$5&gt;=$M70,X$5&lt;=IF($N70="",$L$1,$N70),WEEKDAY(X$5,2)&lt;6,COUNTIF(휴일!$A$2:$A$2,X$5)=0),2,IF(AND(ISNUMBER($K70),X$5&gt;=$K70,X$5&lt;=$L70,WEEKDAY(X$5,2)&lt;6,COUNTIF(휴일!$A$2:$A$2,X$5)=0),1,""))</f>
        <v/>
      </c>
      <c r="Y70" s="32" t="str">
        <f aca="false">IF(AND(ISNUMBER($M70),Y$5&gt;=$M70,Y$5&lt;=IF($N70="",$L$1,$N70),WEEKDAY(Y$5,2)&lt;6,COUNTIF(휴일!$A$2:$A$2,Y$5)=0),2,IF(AND(ISNUMBER($K70),Y$5&gt;=$K70,Y$5&lt;=$L70,WEEKDAY(Y$5,2)&lt;6,COUNTIF(휴일!$A$2:$A$2,Y$5)=0),1,""))</f>
        <v/>
      </c>
      <c r="Z70" s="33" t="str">
        <f aca="false">IF(AND(ISNUMBER($M70),Z$5&gt;=$M70,Z$5&lt;=IF($N70="",$L$1,$N70),WEEKDAY(Z$5,2)&lt;6,COUNTIF(휴일!$A$2:$A$2,Z$5)=0),2,IF(AND(ISNUMBER($K70),Z$5&gt;=$K70,Z$5&lt;=$L70,WEEKDAY(Z$5,2)&lt;6,COUNTIF(휴일!$A$2:$A$2,Z$5)=0),1,""))</f>
        <v/>
      </c>
      <c r="AA70" s="33" t="str">
        <f aca="false">IF(AND(ISNUMBER($M70),AA$5&gt;=$M70,AA$5&lt;=IF($N70="",$L$1,$N70),WEEKDAY(AA$5,2)&lt;6,COUNTIF(휴일!$A$2:$A$2,AA$5)=0),2,IF(AND(ISNUMBER($K70),AA$5&gt;=$K70,AA$5&lt;=$L70,WEEKDAY(AA$5,2)&lt;6,COUNTIF(휴일!$A$2:$A$2,AA$5)=0),1,""))</f>
        <v/>
      </c>
      <c r="AB70" s="33" t="str">
        <f aca="false">IF(AND(ISNUMBER($M70),AB$5&gt;=$M70,AB$5&lt;=IF($N70="",$L$1,$N70),WEEKDAY(AB$5,2)&lt;6,COUNTIF(휴일!$A$2:$A$2,AB$5)=0),2,IF(AND(ISNUMBER($K70),AB$5&gt;=$K70,AB$5&lt;=$L70,WEEKDAY(AB$5,2)&lt;6,COUNTIF(휴일!$A$2:$A$2,AB$5)=0),1,""))</f>
        <v/>
      </c>
      <c r="AC70" s="32" t="str">
        <f aca="false">IF(AND(ISNUMBER($M70),AC$5&gt;=$M70,AC$5&lt;=IF($N70="",$L$1,$N70),WEEKDAY(AC$5,2)&lt;6,COUNTIF(휴일!$A$2:$A$2,AC$5)=0),2,IF(AND(ISNUMBER($K70),AC$5&gt;=$K70,AC$5&lt;=$L70,WEEKDAY(AC$5,2)&lt;6,COUNTIF(휴일!$A$2:$A$2,AC$5)=0),1,""))</f>
        <v/>
      </c>
      <c r="AD70" s="32" t="n">
        <f aca="false">IF(AND(ISNUMBER($M70),AD$5&gt;=$M70,AD$5&lt;=IF($N70="",$L$1,$N70),WEEKDAY(AD$5,2)&lt;6,COUNTIF(휴일!$A$2:$A$2,AD$5)=0),2,IF(AND(ISNUMBER($K70),AD$5&gt;=$K70,AD$5&lt;=$L70,WEEKDAY(AD$5,2)&lt;6,COUNTIF(휴일!$A$2:$A$2,AD$5)=0),1,""))</f>
        <v>1</v>
      </c>
      <c r="AE70" s="32" t="str">
        <f aca="false">IF(AND(ISNUMBER($M70),AE$5&gt;=$M70,AE$5&lt;=IF($N70="",$L$1,$N70),WEEKDAY(AE$5,2)&lt;6,COUNTIF(휴일!$A$2:$A$2,AE$5)=0),2,IF(AND(ISNUMBER($K70),AE$5&gt;=$K70,AE$5&lt;=$L70,WEEKDAY(AE$5,2)&lt;6,COUNTIF(휴일!$A$2:$A$2,AE$5)=0),1,""))</f>
        <v/>
      </c>
      <c r="AF70" s="25" t="s">
        <v>159</v>
      </c>
      <c r="AG70" s="26"/>
      <c r="AH70" s="26"/>
    </row>
    <row r="71" customFormat="false" ht="54" hidden="false" customHeight="true" outlineLevel="0" collapsed="false">
      <c r="A71" s="2"/>
      <c r="B71" s="14"/>
      <c r="C71" s="14"/>
      <c r="D71" s="16"/>
      <c r="E71" s="16"/>
      <c r="F71" s="27" t="s">
        <v>172</v>
      </c>
      <c r="G71" s="27"/>
      <c r="H71" s="27" t="s">
        <v>33</v>
      </c>
      <c r="I71" s="27" t="s">
        <v>34</v>
      </c>
      <c r="J71" s="27" t="s">
        <v>173</v>
      </c>
      <c r="K71" s="28" t="n">
        <v>46308</v>
      </c>
      <c r="L71" s="28" t="n">
        <v>46308</v>
      </c>
      <c r="M71" s="34"/>
      <c r="N71" s="34"/>
      <c r="O71" s="29" t="n">
        <f aca="false">IF(OR(K71="",L71=""),"",IF(L71&lt;K71,"날짜 확인",NETWORKDAYS(K71,L71,휴일!$A$2:$A$2)))</f>
        <v>1</v>
      </c>
      <c r="P71" s="29" t="str">
        <f aca="false">IF(OR(M71="",N71=""),"",IF(N71&lt;M71,"날짜 확인",NETWORKDAYS(M71,N71,휴일!$A$2:$A$2)))</f>
        <v/>
      </c>
      <c r="Q71" s="29" t="n">
        <f aca="false">IF(O71="","",IF($L$1&lt;K71,0,NETWORKDAYS(K71,MIN($L$1,L71),휴일!$A$2:$A$2)))</f>
        <v>1</v>
      </c>
      <c r="R71" s="29" t="str">
        <f aca="false">IF(M71="","",IF($L$1&lt;M71,0,NETWORKDAYS(M71,IF(N71="",$L$1,MIN($L$1,N71)),휴일!$A$2:$A$2)))</f>
        <v/>
      </c>
      <c r="S71" s="30" t="n">
        <f aca="false">IF(O71="","",IF(O71=0,0,Q71/O71))</f>
        <v>1</v>
      </c>
      <c r="T71" s="31" t="n">
        <f aca="false">IF(OR(AND(AG71&lt;&gt;"",OR(NOT(ISNUMBER(AG71)),AG71&lt;=0)),AND(AH71&lt;&gt;"",OR(NOT(ISNUMBER(AH71)),AH71&lt;0)),AND(ISNUMBER(AG71),ISNUMBER(AH71),AH71&gt;AG71)),"수량 확인",IF(AF71="완료",1,IF(AF71="미착수",0,IF(AND(ISNUMBER(AG71),ISNUMBER(AH71)),AH71/AG71,""))))</f>
        <v>0</v>
      </c>
      <c r="U71" s="30" t="n">
        <f aca="false">IF(T71="","",T71)</f>
        <v>0</v>
      </c>
      <c r="V71" s="30" t="n">
        <f aca="false">IF(OR(U71="",S71=""),"",U71-S71)</f>
        <v>-1</v>
      </c>
      <c r="W71" s="32" t="str">
        <f aca="false">IF(AND(ISNUMBER($M71),W$5&gt;=$M71,W$5&lt;=IF($N71="",$L$1,$N71),WEEKDAY(W$5,2)&lt;6,COUNTIF(휴일!$A$2:$A$2,W$5)=0),2,IF(AND(ISNUMBER($K71),W$5&gt;=$K71,W$5&lt;=$L71,WEEKDAY(W$5,2)&lt;6,COUNTIF(휴일!$A$2:$A$2,W$5)=0),1,""))</f>
        <v/>
      </c>
      <c r="X71" s="32" t="str">
        <f aca="false">IF(AND(ISNUMBER($M71),X$5&gt;=$M71,X$5&lt;=IF($N71="",$L$1,$N71),WEEKDAY(X$5,2)&lt;6,COUNTIF(휴일!$A$2:$A$2,X$5)=0),2,IF(AND(ISNUMBER($K71),X$5&gt;=$K71,X$5&lt;=$L71,WEEKDAY(X$5,2)&lt;6,COUNTIF(휴일!$A$2:$A$2,X$5)=0),1,""))</f>
        <v/>
      </c>
      <c r="Y71" s="32" t="str">
        <f aca="false">IF(AND(ISNUMBER($M71),Y$5&gt;=$M71,Y$5&lt;=IF($N71="",$L$1,$N71),WEEKDAY(Y$5,2)&lt;6,COUNTIF(휴일!$A$2:$A$2,Y$5)=0),2,IF(AND(ISNUMBER($K71),Y$5&gt;=$K71,Y$5&lt;=$L71,WEEKDAY(Y$5,2)&lt;6,COUNTIF(휴일!$A$2:$A$2,Y$5)=0),1,""))</f>
        <v/>
      </c>
      <c r="Z71" s="33" t="str">
        <f aca="false">IF(AND(ISNUMBER($M71),Z$5&gt;=$M71,Z$5&lt;=IF($N71="",$L$1,$N71),WEEKDAY(Z$5,2)&lt;6,COUNTIF(휴일!$A$2:$A$2,Z$5)=0),2,IF(AND(ISNUMBER($K71),Z$5&gt;=$K71,Z$5&lt;=$L71,WEEKDAY(Z$5,2)&lt;6,COUNTIF(휴일!$A$2:$A$2,Z$5)=0),1,""))</f>
        <v/>
      </c>
      <c r="AA71" s="33" t="str">
        <f aca="false">IF(AND(ISNUMBER($M71),AA$5&gt;=$M71,AA$5&lt;=IF($N71="",$L$1,$N71),WEEKDAY(AA$5,2)&lt;6,COUNTIF(휴일!$A$2:$A$2,AA$5)=0),2,IF(AND(ISNUMBER($K71),AA$5&gt;=$K71,AA$5&lt;=$L71,WEEKDAY(AA$5,2)&lt;6,COUNTIF(휴일!$A$2:$A$2,AA$5)=0),1,""))</f>
        <v/>
      </c>
      <c r="AB71" s="33" t="str">
        <f aca="false">IF(AND(ISNUMBER($M71),AB$5&gt;=$M71,AB$5&lt;=IF($N71="",$L$1,$N71),WEEKDAY(AB$5,2)&lt;6,COUNTIF(휴일!$A$2:$A$2,AB$5)=0),2,IF(AND(ISNUMBER($K71),AB$5&gt;=$K71,AB$5&lt;=$L71,WEEKDAY(AB$5,2)&lt;6,COUNTIF(휴일!$A$2:$A$2,AB$5)=0),1,""))</f>
        <v/>
      </c>
      <c r="AC71" s="32" t="str">
        <f aca="false">IF(AND(ISNUMBER($M71),AC$5&gt;=$M71,AC$5&lt;=IF($N71="",$L$1,$N71),WEEKDAY(AC$5,2)&lt;6,COUNTIF(휴일!$A$2:$A$2,AC$5)=0),2,IF(AND(ISNUMBER($K71),AC$5&gt;=$K71,AC$5&lt;=$L71,WEEKDAY(AC$5,2)&lt;6,COUNTIF(휴일!$A$2:$A$2,AC$5)=0),1,""))</f>
        <v/>
      </c>
      <c r="AD71" s="32" t="n">
        <f aca="false">IF(AND(ISNUMBER($M71),AD$5&gt;=$M71,AD$5&lt;=IF($N71="",$L$1,$N71),WEEKDAY(AD$5,2)&lt;6,COUNTIF(휴일!$A$2:$A$2,AD$5)=0),2,IF(AND(ISNUMBER($K71),AD$5&gt;=$K71,AD$5&lt;=$L71,WEEKDAY(AD$5,2)&lt;6,COUNTIF(휴일!$A$2:$A$2,AD$5)=0),1,""))</f>
        <v>1</v>
      </c>
      <c r="AE71" s="32" t="str">
        <f aca="false">IF(AND(ISNUMBER($M71),AE$5&gt;=$M71,AE$5&lt;=IF($N71="",$L$1,$N71),WEEKDAY(AE$5,2)&lt;6,COUNTIF(휴일!$A$2:$A$2,AE$5)=0),2,IF(AND(ISNUMBER($K71),AE$5&gt;=$K71,AE$5&lt;=$L71,WEEKDAY(AE$5,2)&lt;6,COUNTIF(휴일!$A$2:$A$2,AE$5)=0),1,""))</f>
        <v/>
      </c>
      <c r="AF71" s="25" t="s">
        <v>159</v>
      </c>
      <c r="AG71" s="26"/>
      <c r="AH71" s="26"/>
    </row>
    <row r="72" customFormat="false" ht="54" hidden="false" customHeight="true" outlineLevel="0" collapsed="false">
      <c r="A72" s="2"/>
      <c r="B72" s="14"/>
      <c r="C72" s="14"/>
      <c r="D72" s="16"/>
      <c r="E72" s="16"/>
      <c r="F72" s="27" t="s">
        <v>174</v>
      </c>
      <c r="G72" s="27"/>
      <c r="H72" s="27" t="s">
        <v>34</v>
      </c>
      <c r="I72" s="27" t="s">
        <v>33</v>
      </c>
      <c r="J72" s="27" t="s">
        <v>175</v>
      </c>
      <c r="K72" s="28" t="n">
        <v>46308</v>
      </c>
      <c r="L72" s="28" t="n">
        <v>46308</v>
      </c>
      <c r="M72" s="34"/>
      <c r="N72" s="34"/>
      <c r="O72" s="29" t="n">
        <f aca="false">IF(OR(K72="",L72=""),"",IF(L72&lt;K72,"날짜 확인",NETWORKDAYS(K72,L72,휴일!$A$2:$A$2)))</f>
        <v>1</v>
      </c>
      <c r="P72" s="29" t="str">
        <f aca="false">IF(OR(M72="",N72=""),"",IF(N72&lt;M72,"날짜 확인",NETWORKDAYS(M72,N72,휴일!$A$2:$A$2)))</f>
        <v/>
      </c>
      <c r="Q72" s="29" t="n">
        <f aca="false">IF(O72="","",IF($L$1&lt;K72,0,NETWORKDAYS(K72,MIN($L$1,L72),휴일!$A$2:$A$2)))</f>
        <v>1</v>
      </c>
      <c r="R72" s="29" t="str">
        <f aca="false">IF(M72="","",IF($L$1&lt;M72,0,NETWORKDAYS(M72,IF(N72="",$L$1,MIN($L$1,N72)),휴일!$A$2:$A$2)))</f>
        <v/>
      </c>
      <c r="S72" s="30" t="n">
        <f aca="false">IF(O72="","",IF(O72=0,0,Q72/O72))</f>
        <v>1</v>
      </c>
      <c r="T72" s="31" t="n">
        <f aca="false">IF(OR(AND(AG72&lt;&gt;"",OR(NOT(ISNUMBER(AG72)),AG72&lt;=0)),AND(AH72&lt;&gt;"",OR(NOT(ISNUMBER(AH72)),AH72&lt;0)),AND(ISNUMBER(AG72),ISNUMBER(AH72),AH72&gt;AG72)),"수량 확인",IF(AF72="완료",1,IF(AF72="미착수",0,IF(AND(ISNUMBER(AG72),ISNUMBER(AH72)),AH72/AG72,""))))</f>
        <v>0</v>
      </c>
      <c r="U72" s="30" t="n">
        <f aca="false">IF(T72="","",T72)</f>
        <v>0</v>
      </c>
      <c r="V72" s="30" t="n">
        <f aca="false">IF(OR(U72="",S72=""),"",U72-S72)</f>
        <v>-1</v>
      </c>
      <c r="W72" s="32" t="str">
        <f aca="false">IF(AND(ISNUMBER($M72),W$5&gt;=$M72,W$5&lt;=IF($N72="",$L$1,$N72),WEEKDAY(W$5,2)&lt;6,COUNTIF(휴일!$A$2:$A$2,W$5)=0),2,IF(AND(ISNUMBER($K72),W$5&gt;=$K72,W$5&lt;=$L72,WEEKDAY(W$5,2)&lt;6,COUNTIF(휴일!$A$2:$A$2,W$5)=0),1,""))</f>
        <v/>
      </c>
      <c r="X72" s="32" t="str">
        <f aca="false">IF(AND(ISNUMBER($M72),X$5&gt;=$M72,X$5&lt;=IF($N72="",$L$1,$N72),WEEKDAY(X$5,2)&lt;6,COUNTIF(휴일!$A$2:$A$2,X$5)=0),2,IF(AND(ISNUMBER($K72),X$5&gt;=$K72,X$5&lt;=$L72,WEEKDAY(X$5,2)&lt;6,COUNTIF(휴일!$A$2:$A$2,X$5)=0),1,""))</f>
        <v/>
      </c>
      <c r="Y72" s="32" t="str">
        <f aca="false">IF(AND(ISNUMBER($M72),Y$5&gt;=$M72,Y$5&lt;=IF($N72="",$L$1,$N72),WEEKDAY(Y$5,2)&lt;6,COUNTIF(휴일!$A$2:$A$2,Y$5)=0),2,IF(AND(ISNUMBER($K72),Y$5&gt;=$K72,Y$5&lt;=$L72,WEEKDAY(Y$5,2)&lt;6,COUNTIF(휴일!$A$2:$A$2,Y$5)=0),1,""))</f>
        <v/>
      </c>
      <c r="Z72" s="33" t="str">
        <f aca="false">IF(AND(ISNUMBER($M72),Z$5&gt;=$M72,Z$5&lt;=IF($N72="",$L$1,$N72),WEEKDAY(Z$5,2)&lt;6,COUNTIF(휴일!$A$2:$A$2,Z$5)=0),2,IF(AND(ISNUMBER($K72),Z$5&gt;=$K72,Z$5&lt;=$L72,WEEKDAY(Z$5,2)&lt;6,COUNTIF(휴일!$A$2:$A$2,Z$5)=0),1,""))</f>
        <v/>
      </c>
      <c r="AA72" s="33" t="str">
        <f aca="false">IF(AND(ISNUMBER($M72),AA$5&gt;=$M72,AA$5&lt;=IF($N72="",$L$1,$N72),WEEKDAY(AA$5,2)&lt;6,COUNTIF(휴일!$A$2:$A$2,AA$5)=0),2,IF(AND(ISNUMBER($K72),AA$5&gt;=$K72,AA$5&lt;=$L72,WEEKDAY(AA$5,2)&lt;6,COUNTIF(휴일!$A$2:$A$2,AA$5)=0),1,""))</f>
        <v/>
      </c>
      <c r="AB72" s="33" t="str">
        <f aca="false">IF(AND(ISNUMBER($M72),AB$5&gt;=$M72,AB$5&lt;=IF($N72="",$L$1,$N72),WEEKDAY(AB$5,2)&lt;6,COUNTIF(휴일!$A$2:$A$2,AB$5)=0),2,IF(AND(ISNUMBER($K72),AB$5&gt;=$K72,AB$5&lt;=$L72,WEEKDAY(AB$5,2)&lt;6,COUNTIF(휴일!$A$2:$A$2,AB$5)=0),1,""))</f>
        <v/>
      </c>
      <c r="AC72" s="32" t="str">
        <f aca="false">IF(AND(ISNUMBER($M72),AC$5&gt;=$M72,AC$5&lt;=IF($N72="",$L$1,$N72),WEEKDAY(AC$5,2)&lt;6,COUNTIF(휴일!$A$2:$A$2,AC$5)=0),2,IF(AND(ISNUMBER($K72),AC$5&gt;=$K72,AC$5&lt;=$L72,WEEKDAY(AC$5,2)&lt;6,COUNTIF(휴일!$A$2:$A$2,AC$5)=0),1,""))</f>
        <v/>
      </c>
      <c r="AD72" s="32" t="n">
        <f aca="false">IF(AND(ISNUMBER($M72),AD$5&gt;=$M72,AD$5&lt;=IF($N72="",$L$1,$N72),WEEKDAY(AD$5,2)&lt;6,COUNTIF(휴일!$A$2:$A$2,AD$5)=0),2,IF(AND(ISNUMBER($K72),AD$5&gt;=$K72,AD$5&lt;=$L72,WEEKDAY(AD$5,2)&lt;6,COUNTIF(휴일!$A$2:$A$2,AD$5)=0),1,""))</f>
        <v>1</v>
      </c>
      <c r="AE72" s="32" t="str">
        <f aca="false">IF(AND(ISNUMBER($M72),AE$5&gt;=$M72,AE$5&lt;=IF($N72="",$L$1,$N72),WEEKDAY(AE$5,2)&lt;6,COUNTIF(휴일!$A$2:$A$2,AE$5)=0),2,IF(AND(ISNUMBER($K72),AE$5&gt;=$K72,AE$5&lt;=$L72,WEEKDAY(AE$5,2)&lt;6,COUNTIF(휴일!$A$2:$A$2,AE$5)=0),1,""))</f>
        <v/>
      </c>
      <c r="AF72" s="25" t="s">
        <v>159</v>
      </c>
      <c r="AG72" s="26"/>
      <c r="AH72" s="26"/>
    </row>
    <row r="73" customFormat="false" ht="54" hidden="false" customHeight="true" outlineLevel="0" collapsed="false">
      <c r="A73" s="2"/>
      <c r="B73" s="14"/>
      <c r="C73" s="14"/>
      <c r="D73" s="16"/>
      <c r="E73" s="16"/>
      <c r="F73" s="27" t="s">
        <v>176</v>
      </c>
      <c r="G73" s="27"/>
      <c r="H73" s="27" t="s">
        <v>33</v>
      </c>
      <c r="I73" s="27" t="s">
        <v>34</v>
      </c>
      <c r="J73" s="27" t="s">
        <v>177</v>
      </c>
      <c r="K73" s="28" t="n">
        <v>46308</v>
      </c>
      <c r="L73" s="28" t="n">
        <v>46308</v>
      </c>
      <c r="M73" s="34"/>
      <c r="N73" s="34"/>
      <c r="O73" s="29" t="n">
        <f aca="false">IF(OR(K73="",L73=""),"",IF(L73&lt;K73,"날짜 확인",NETWORKDAYS(K73,L73,휴일!$A$2:$A$2)))</f>
        <v>1</v>
      </c>
      <c r="P73" s="29" t="str">
        <f aca="false">IF(OR(M73="",N73=""),"",IF(N73&lt;M73,"날짜 확인",NETWORKDAYS(M73,N73,휴일!$A$2:$A$2)))</f>
        <v/>
      </c>
      <c r="Q73" s="29" t="n">
        <f aca="false">IF(O73="","",IF($L$1&lt;K73,0,NETWORKDAYS(K73,MIN($L$1,L73),휴일!$A$2:$A$2)))</f>
        <v>1</v>
      </c>
      <c r="R73" s="29" t="str">
        <f aca="false">IF(M73="","",IF($L$1&lt;M73,0,NETWORKDAYS(M73,IF(N73="",$L$1,MIN($L$1,N73)),휴일!$A$2:$A$2)))</f>
        <v/>
      </c>
      <c r="S73" s="30" t="n">
        <f aca="false">IF(O73="","",IF(O73=0,0,Q73/O73))</f>
        <v>1</v>
      </c>
      <c r="T73" s="31" t="n">
        <f aca="false">IF(OR(AND(AG73&lt;&gt;"",OR(NOT(ISNUMBER(AG73)),AG73&lt;=0)),AND(AH73&lt;&gt;"",OR(NOT(ISNUMBER(AH73)),AH73&lt;0)),AND(ISNUMBER(AG73),ISNUMBER(AH73),AH73&gt;AG73)),"수량 확인",IF(AF73="완료",1,IF(AF73="미착수",0,IF(AND(ISNUMBER(AG73),ISNUMBER(AH73)),AH73/AG73,""))))</f>
        <v>0</v>
      </c>
      <c r="U73" s="30" t="n">
        <f aca="false">IF(T73="","",T73)</f>
        <v>0</v>
      </c>
      <c r="V73" s="30" t="n">
        <f aca="false">IF(OR(U73="",S73=""),"",U73-S73)</f>
        <v>-1</v>
      </c>
      <c r="W73" s="32" t="str">
        <f aca="false">IF(AND(ISNUMBER($M73),W$5&gt;=$M73,W$5&lt;=IF($N73="",$L$1,$N73),WEEKDAY(W$5,2)&lt;6,COUNTIF(휴일!$A$2:$A$2,W$5)=0),2,IF(AND(ISNUMBER($K73),W$5&gt;=$K73,W$5&lt;=$L73,WEEKDAY(W$5,2)&lt;6,COUNTIF(휴일!$A$2:$A$2,W$5)=0),1,""))</f>
        <v/>
      </c>
      <c r="X73" s="32" t="str">
        <f aca="false">IF(AND(ISNUMBER($M73),X$5&gt;=$M73,X$5&lt;=IF($N73="",$L$1,$N73),WEEKDAY(X$5,2)&lt;6,COUNTIF(휴일!$A$2:$A$2,X$5)=0),2,IF(AND(ISNUMBER($K73),X$5&gt;=$K73,X$5&lt;=$L73,WEEKDAY(X$5,2)&lt;6,COUNTIF(휴일!$A$2:$A$2,X$5)=0),1,""))</f>
        <v/>
      </c>
      <c r="Y73" s="32" t="str">
        <f aca="false">IF(AND(ISNUMBER($M73),Y$5&gt;=$M73,Y$5&lt;=IF($N73="",$L$1,$N73),WEEKDAY(Y$5,2)&lt;6,COUNTIF(휴일!$A$2:$A$2,Y$5)=0),2,IF(AND(ISNUMBER($K73),Y$5&gt;=$K73,Y$5&lt;=$L73,WEEKDAY(Y$5,2)&lt;6,COUNTIF(휴일!$A$2:$A$2,Y$5)=0),1,""))</f>
        <v/>
      </c>
      <c r="Z73" s="33" t="str">
        <f aca="false">IF(AND(ISNUMBER($M73),Z$5&gt;=$M73,Z$5&lt;=IF($N73="",$L$1,$N73),WEEKDAY(Z$5,2)&lt;6,COUNTIF(휴일!$A$2:$A$2,Z$5)=0),2,IF(AND(ISNUMBER($K73),Z$5&gt;=$K73,Z$5&lt;=$L73,WEEKDAY(Z$5,2)&lt;6,COUNTIF(휴일!$A$2:$A$2,Z$5)=0),1,""))</f>
        <v/>
      </c>
      <c r="AA73" s="33" t="str">
        <f aca="false">IF(AND(ISNUMBER($M73),AA$5&gt;=$M73,AA$5&lt;=IF($N73="",$L$1,$N73),WEEKDAY(AA$5,2)&lt;6,COUNTIF(휴일!$A$2:$A$2,AA$5)=0),2,IF(AND(ISNUMBER($K73),AA$5&gt;=$K73,AA$5&lt;=$L73,WEEKDAY(AA$5,2)&lt;6,COUNTIF(휴일!$A$2:$A$2,AA$5)=0),1,""))</f>
        <v/>
      </c>
      <c r="AB73" s="33" t="str">
        <f aca="false">IF(AND(ISNUMBER($M73),AB$5&gt;=$M73,AB$5&lt;=IF($N73="",$L$1,$N73),WEEKDAY(AB$5,2)&lt;6,COUNTIF(휴일!$A$2:$A$2,AB$5)=0),2,IF(AND(ISNUMBER($K73),AB$5&gt;=$K73,AB$5&lt;=$L73,WEEKDAY(AB$5,2)&lt;6,COUNTIF(휴일!$A$2:$A$2,AB$5)=0),1,""))</f>
        <v/>
      </c>
      <c r="AC73" s="32" t="str">
        <f aca="false">IF(AND(ISNUMBER($M73),AC$5&gt;=$M73,AC$5&lt;=IF($N73="",$L$1,$N73),WEEKDAY(AC$5,2)&lt;6,COUNTIF(휴일!$A$2:$A$2,AC$5)=0),2,IF(AND(ISNUMBER($K73),AC$5&gt;=$K73,AC$5&lt;=$L73,WEEKDAY(AC$5,2)&lt;6,COUNTIF(휴일!$A$2:$A$2,AC$5)=0),1,""))</f>
        <v/>
      </c>
      <c r="AD73" s="32" t="n">
        <f aca="false">IF(AND(ISNUMBER($M73),AD$5&gt;=$M73,AD$5&lt;=IF($N73="",$L$1,$N73),WEEKDAY(AD$5,2)&lt;6,COUNTIF(휴일!$A$2:$A$2,AD$5)=0),2,IF(AND(ISNUMBER($K73),AD$5&gt;=$K73,AD$5&lt;=$L73,WEEKDAY(AD$5,2)&lt;6,COUNTIF(휴일!$A$2:$A$2,AD$5)=0),1,""))</f>
        <v>1</v>
      </c>
      <c r="AE73" s="32" t="str">
        <f aca="false">IF(AND(ISNUMBER($M73),AE$5&gt;=$M73,AE$5&lt;=IF($N73="",$L$1,$N73),WEEKDAY(AE$5,2)&lt;6,COUNTIF(휴일!$A$2:$A$2,AE$5)=0),2,IF(AND(ISNUMBER($K73),AE$5&gt;=$K73,AE$5&lt;=$L73,WEEKDAY(AE$5,2)&lt;6,COUNTIF(휴일!$A$2:$A$2,AE$5)=0),1,""))</f>
        <v/>
      </c>
      <c r="AF73" s="25" t="s">
        <v>159</v>
      </c>
      <c r="AG73" s="26"/>
      <c r="AH73" s="26"/>
    </row>
    <row r="74" customFormat="false" ht="54" hidden="false" customHeight="true" outlineLevel="0" collapsed="false">
      <c r="A74" s="2"/>
      <c r="B74" s="14"/>
      <c r="C74" s="14"/>
      <c r="D74" s="16"/>
      <c r="E74" s="16"/>
      <c r="F74" s="27" t="s">
        <v>178</v>
      </c>
      <c r="G74" s="27"/>
      <c r="H74" s="27" t="s">
        <v>34</v>
      </c>
      <c r="I74" s="27" t="s">
        <v>33</v>
      </c>
      <c r="J74" s="27" t="s">
        <v>179</v>
      </c>
      <c r="K74" s="28" t="n">
        <v>46308</v>
      </c>
      <c r="L74" s="28" t="n">
        <v>46308</v>
      </c>
      <c r="M74" s="34"/>
      <c r="N74" s="34"/>
      <c r="O74" s="29" t="n">
        <f aca="false">IF(OR(K74="",L74=""),"",IF(L74&lt;K74,"날짜 확인",NETWORKDAYS(K74,L74,휴일!$A$2:$A$2)))</f>
        <v>1</v>
      </c>
      <c r="P74" s="29" t="str">
        <f aca="false">IF(OR(M74="",N74=""),"",IF(N74&lt;M74,"날짜 확인",NETWORKDAYS(M74,N74,휴일!$A$2:$A$2)))</f>
        <v/>
      </c>
      <c r="Q74" s="29" t="n">
        <f aca="false">IF(O74="","",IF($L$1&lt;K74,0,NETWORKDAYS(K74,MIN($L$1,L74),휴일!$A$2:$A$2)))</f>
        <v>1</v>
      </c>
      <c r="R74" s="29" t="str">
        <f aca="false">IF(M74="","",IF($L$1&lt;M74,0,NETWORKDAYS(M74,IF(N74="",$L$1,MIN($L$1,N74)),휴일!$A$2:$A$2)))</f>
        <v/>
      </c>
      <c r="S74" s="30" t="n">
        <f aca="false">IF(O74="","",IF(O74=0,0,Q74/O74))</f>
        <v>1</v>
      </c>
      <c r="T74" s="31" t="n">
        <f aca="false">IF(OR(AND(AG74&lt;&gt;"",OR(NOT(ISNUMBER(AG74)),AG74&lt;=0)),AND(AH74&lt;&gt;"",OR(NOT(ISNUMBER(AH74)),AH74&lt;0)),AND(ISNUMBER(AG74),ISNUMBER(AH74),AH74&gt;AG74)),"수량 확인",IF(AF74="완료",1,IF(AF74="미착수",0,IF(AND(ISNUMBER(AG74),ISNUMBER(AH74)),AH74/AG74,""))))</f>
        <v>0</v>
      </c>
      <c r="U74" s="30" t="n">
        <f aca="false">IF(T74="","",T74)</f>
        <v>0</v>
      </c>
      <c r="V74" s="30" t="n">
        <f aca="false">IF(OR(U74="",S74=""),"",U74-S74)</f>
        <v>-1</v>
      </c>
      <c r="W74" s="32" t="str">
        <f aca="false">IF(AND(ISNUMBER($M74),W$5&gt;=$M74,W$5&lt;=IF($N74="",$L$1,$N74),WEEKDAY(W$5,2)&lt;6,COUNTIF(휴일!$A$2:$A$2,W$5)=0),2,IF(AND(ISNUMBER($K74),W$5&gt;=$K74,W$5&lt;=$L74,WEEKDAY(W$5,2)&lt;6,COUNTIF(휴일!$A$2:$A$2,W$5)=0),1,""))</f>
        <v/>
      </c>
      <c r="X74" s="32" t="str">
        <f aca="false">IF(AND(ISNUMBER($M74),X$5&gt;=$M74,X$5&lt;=IF($N74="",$L$1,$N74),WEEKDAY(X$5,2)&lt;6,COUNTIF(휴일!$A$2:$A$2,X$5)=0),2,IF(AND(ISNUMBER($K74),X$5&gt;=$K74,X$5&lt;=$L74,WEEKDAY(X$5,2)&lt;6,COUNTIF(휴일!$A$2:$A$2,X$5)=0),1,""))</f>
        <v/>
      </c>
      <c r="Y74" s="32" t="str">
        <f aca="false">IF(AND(ISNUMBER($M74),Y$5&gt;=$M74,Y$5&lt;=IF($N74="",$L$1,$N74),WEEKDAY(Y$5,2)&lt;6,COUNTIF(휴일!$A$2:$A$2,Y$5)=0),2,IF(AND(ISNUMBER($K74),Y$5&gt;=$K74,Y$5&lt;=$L74,WEEKDAY(Y$5,2)&lt;6,COUNTIF(휴일!$A$2:$A$2,Y$5)=0),1,""))</f>
        <v/>
      </c>
      <c r="Z74" s="33" t="str">
        <f aca="false">IF(AND(ISNUMBER($M74),Z$5&gt;=$M74,Z$5&lt;=IF($N74="",$L$1,$N74),WEEKDAY(Z$5,2)&lt;6,COUNTIF(휴일!$A$2:$A$2,Z$5)=0),2,IF(AND(ISNUMBER($K74),Z$5&gt;=$K74,Z$5&lt;=$L74,WEEKDAY(Z$5,2)&lt;6,COUNTIF(휴일!$A$2:$A$2,Z$5)=0),1,""))</f>
        <v/>
      </c>
      <c r="AA74" s="33" t="str">
        <f aca="false">IF(AND(ISNUMBER($M74),AA$5&gt;=$M74,AA$5&lt;=IF($N74="",$L$1,$N74),WEEKDAY(AA$5,2)&lt;6,COUNTIF(휴일!$A$2:$A$2,AA$5)=0),2,IF(AND(ISNUMBER($K74),AA$5&gt;=$K74,AA$5&lt;=$L74,WEEKDAY(AA$5,2)&lt;6,COUNTIF(휴일!$A$2:$A$2,AA$5)=0),1,""))</f>
        <v/>
      </c>
      <c r="AB74" s="33" t="str">
        <f aca="false">IF(AND(ISNUMBER($M74),AB$5&gt;=$M74,AB$5&lt;=IF($N74="",$L$1,$N74),WEEKDAY(AB$5,2)&lt;6,COUNTIF(휴일!$A$2:$A$2,AB$5)=0),2,IF(AND(ISNUMBER($K74),AB$5&gt;=$K74,AB$5&lt;=$L74,WEEKDAY(AB$5,2)&lt;6,COUNTIF(휴일!$A$2:$A$2,AB$5)=0),1,""))</f>
        <v/>
      </c>
      <c r="AC74" s="32" t="str">
        <f aca="false">IF(AND(ISNUMBER($M74),AC$5&gt;=$M74,AC$5&lt;=IF($N74="",$L$1,$N74),WEEKDAY(AC$5,2)&lt;6,COUNTIF(휴일!$A$2:$A$2,AC$5)=0),2,IF(AND(ISNUMBER($K74),AC$5&gt;=$K74,AC$5&lt;=$L74,WEEKDAY(AC$5,2)&lt;6,COUNTIF(휴일!$A$2:$A$2,AC$5)=0),1,""))</f>
        <v/>
      </c>
      <c r="AD74" s="32" t="n">
        <f aca="false">IF(AND(ISNUMBER($M74),AD$5&gt;=$M74,AD$5&lt;=IF($N74="",$L$1,$N74),WEEKDAY(AD$5,2)&lt;6,COUNTIF(휴일!$A$2:$A$2,AD$5)=0),2,IF(AND(ISNUMBER($K74),AD$5&gt;=$K74,AD$5&lt;=$L74,WEEKDAY(AD$5,2)&lt;6,COUNTIF(휴일!$A$2:$A$2,AD$5)=0),1,""))</f>
        <v>1</v>
      </c>
      <c r="AE74" s="32" t="str">
        <f aca="false">IF(AND(ISNUMBER($M74),AE$5&gt;=$M74,AE$5&lt;=IF($N74="",$L$1,$N74),WEEKDAY(AE$5,2)&lt;6,COUNTIF(휴일!$A$2:$A$2,AE$5)=0),2,IF(AND(ISNUMBER($K74),AE$5&gt;=$K74,AE$5&lt;=$L74,WEEKDAY(AE$5,2)&lt;6,COUNTIF(휴일!$A$2:$A$2,AE$5)=0),1,""))</f>
        <v/>
      </c>
      <c r="AF74" s="25" t="s">
        <v>159</v>
      </c>
      <c r="AG74" s="26"/>
      <c r="AH74" s="26"/>
    </row>
    <row r="75" customFormat="false" ht="54" hidden="false" customHeight="true" outlineLevel="0" collapsed="false">
      <c r="A75" s="2"/>
      <c r="B75" s="14" t="n">
        <v>6</v>
      </c>
      <c r="C75" s="15" t="n">
        <v>0.181818181818182</v>
      </c>
      <c r="D75" s="16" t="s">
        <v>180</v>
      </c>
      <c r="E75" s="16"/>
      <c r="F75" s="17" t="s">
        <v>181</v>
      </c>
      <c r="G75" s="17"/>
      <c r="H75" s="17" t="s">
        <v>34</v>
      </c>
      <c r="I75" s="17" t="s">
        <v>33</v>
      </c>
      <c r="J75" s="17" t="s">
        <v>182</v>
      </c>
      <c r="K75" s="18" t="n">
        <v>46309</v>
      </c>
      <c r="L75" s="18" t="n">
        <v>46309</v>
      </c>
      <c r="M75" s="19"/>
      <c r="N75" s="19"/>
      <c r="O75" s="20" t="n">
        <f aca="false">IF(OR(K75="",L75=""),"",IF(L75&lt;K75,"날짜 확인",NETWORKDAYS(K75,L75,휴일!$A$2:$A$2)))</f>
        <v>1</v>
      </c>
      <c r="P75" s="20" t="str">
        <f aca="false">IF(OR(M75="",N75=""),"",IF(N75&lt;M75,"날짜 확인",NETWORKDAYS(M75,N75,휴일!$A$2:$A$2)))</f>
        <v/>
      </c>
      <c r="Q75" s="20" t="n">
        <f aca="false">IF(O75="","",IF($L$1&lt;K75,0,NETWORKDAYS(K75,MIN($L$1,L75),휴일!$A$2:$A$2)))</f>
        <v>0</v>
      </c>
      <c r="R75" s="20" t="str">
        <f aca="false">IF(M75="","",IF($L$1&lt;M75,0,NETWORKDAYS(M75,IF(N75="",$L$1,MIN($L$1,N75)),휴일!$A$2:$A$2)))</f>
        <v/>
      </c>
      <c r="S75" s="21" t="n">
        <f aca="false">IF(O75="","",IF(O75=0,0,Q75/O75))</f>
        <v>0</v>
      </c>
      <c r="T75" s="22" t="n">
        <f aca="false">IF(OR(AND(AG75&lt;&gt;"",OR(NOT(ISNUMBER(AG75)),AG75&lt;=0)),AND(AH75&lt;&gt;"",OR(NOT(ISNUMBER(AH75)),AH75&lt;0)),AND(ISNUMBER(AG75),ISNUMBER(AH75),AH75&gt;AG75)),"수량 확인",IF(AF75="완료",1,IF(AF75="미착수",0,IF(AND(ISNUMBER(AG75),ISNUMBER(AH75)),AH75/AG75,""))))</f>
        <v>0</v>
      </c>
      <c r="U75" s="21" t="n">
        <f aca="false">IF(T75="","",T75)</f>
        <v>0</v>
      </c>
      <c r="V75" s="21" t="n">
        <f aca="false">IF(OR(U75="",S75=""),"",U75-S75)</f>
        <v>0</v>
      </c>
      <c r="W75" s="23" t="str">
        <f aca="false">IF(AND(ISNUMBER($M75),W$5&gt;=$M75,W$5&lt;=IF($N75="",$L$1,$N75),WEEKDAY(W$5,2)&lt;6,COUNTIF(휴일!$A$2:$A$2,W$5)=0),2,IF(AND(ISNUMBER($K75),W$5&gt;=$K75,W$5&lt;=$L75,WEEKDAY(W$5,2)&lt;6,COUNTIF(휴일!$A$2:$A$2,W$5)=0),1,""))</f>
        <v/>
      </c>
      <c r="X75" s="23" t="str">
        <f aca="false">IF(AND(ISNUMBER($M75),X$5&gt;=$M75,X$5&lt;=IF($N75="",$L$1,$N75),WEEKDAY(X$5,2)&lt;6,COUNTIF(휴일!$A$2:$A$2,X$5)=0),2,IF(AND(ISNUMBER($K75),X$5&gt;=$K75,X$5&lt;=$L75,WEEKDAY(X$5,2)&lt;6,COUNTIF(휴일!$A$2:$A$2,X$5)=0),1,""))</f>
        <v/>
      </c>
      <c r="Y75" s="23" t="str">
        <f aca="false">IF(AND(ISNUMBER($M75),Y$5&gt;=$M75,Y$5&lt;=IF($N75="",$L$1,$N75),WEEKDAY(Y$5,2)&lt;6,COUNTIF(휴일!$A$2:$A$2,Y$5)=0),2,IF(AND(ISNUMBER($K75),Y$5&gt;=$K75,Y$5&lt;=$L75,WEEKDAY(Y$5,2)&lt;6,COUNTIF(휴일!$A$2:$A$2,Y$5)=0),1,""))</f>
        <v/>
      </c>
      <c r="Z75" s="24" t="str">
        <f aca="false">IF(AND(ISNUMBER($M75),Z$5&gt;=$M75,Z$5&lt;=IF($N75="",$L$1,$N75),WEEKDAY(Z$5,2)&lt;6,COUNTIF(휴일!$A$2:$A$2,Z$5)=0),2,IF(AND(ISNUMBER($K75),Z$5&gt;=$K75,Z$5&lt;=$L75,WEEKDAY(Z$5,2)&lt;6,COUNTIF(휴일!$A$2:$A$2,Z$5)=0),1,""))</f>
        <v/>
      </c>
      <c r="AA75" s="24" t="str">
        <f aca="false">IF(AND(ISNUMBER($M75),AA$5&gt;=$M75,AA$5&lt;=IF($N75="",$L$1,$N75),WEEKDAY(AA$5,2)&lt;6,COUNTIF(휴일!$A$2:$A$2,AA$5)=0),2,IF(AND(ISNUMBER($K75),AA$5&gt;=$K75,AA$5&lt;=$L75,WEEKDAY(AA$5,2)&lt;6,COUNTIF(휴일!$A$2:$A$2,AA$5)=0),1,""))</f>
        <v/>
      </c>
      <c r="AB75" s="24" t="str">
        <f aca="false">IF(AND(ISNUMBER($M75),AB$5&gt;=$M75,AB$5&lt;=IF($N75="",$L$1,$N75),WEEKDAY(AB$5,2)&lt;6,COUNTIF(휴일!$A$2:$A$2,AB$5)=0),2,IF(AND(ISNUMBER($K75),AB$5&gt;=$K75,AB$5&lt;=$L75,WEEKDAY(AB$5,2)&lt;6,COUNTIF(휴일!$A$2:$A$2,AB$5)=0),1,""))</f>
        <v/>
      </c>
      <c r="AC75" s="23" t="str">
        <f aca="false">IF(AND(ISNUMBER($M75),AC$5&gt;=$M75,AC$5&lt;=IF($N75="",$L$1,$N75),WEEKDAY(AC$5,2)&lt;6,COUNTIF(휴일!$A$2:$A$2,AC$5)=0),2,IF(AND(ISNUMBER($K75),AC$5&gt;=$K75,AC$5&lt;=$L75,WEEKDAY(AC$5,2)&lt;6,COUNTIF(휴일!$A$2:$A$2,AC$5)=0),1,""))</f>
        <v/>
      </c>
      <c r="AD75" s="23" t="str">
        <f aca="false">IF(AND(ISNUMBER($M75),AD$5&gt;=$M75,AD$5&lt;=IF($N75="",$L$1,$N75),WEEKDAY(AD$5,2)&lt;6,COUNTIF(휴일!$A$2:$A$2,AD$5)=0),2,IF(AND(ISNUMBER($K75),AD$5&gt;=$K75,AD$5&lt;=$L75,WEEKDAY(AD$5,2)&lt;6,COUNTIF(휴일!$A$2:$A$2,AD$5)=0),1,""))</f>
        <v/>
      </c>
      <c r="AE75" s="23" t="n">
        <f aca="false">IF(AND(ISNUMBER($M75),AE$5&gt;=$M75,AE$5&lt;=IF($N75="",$L$1,$N75),WEEKDAY(AE$5,2)&lt;6,COUNTIF(휴일!$A$2:$A$2,AE$5)=0),2,IF(AND(ISNUMBER($K75),AE$5&gt;=$K75,AE$5&lt;=$L75,WEEKDAY(AE$5,2)&lt;6,COUNTIF(휴일!$A$2:$A$2,AE$5)=0),1,""))</f>
        <v>1</v>
      </c>
      <c r="AF75" s="25" t="s">
        <v>159</v>
      </c>
      <c r="AG75" s="26"/>
      <c r="AH75" s="26"/>
    </row>
    <row r="76" customFormat="false" ht="54" hidden="false" customHeight="true" outlineLevel="0" collapsed="false">
      <c r="A76" s="2"/>
      <c r="B76" s="14"/>
      <c r="C76" s="14"/>
      <c r="D76" s="16"/>
      <c r="E76" s="16"/>
      <c r="F76" s="27" t="s">
        <v>183</v>
      </c>
      <c r="G76" s="27"/>
      <c r="H76" s="27" t="s">
        <v>34</v>
      </c>
      <c r="I76" s="27" t="s">
        <v>33</v>
      </c>
      <c r="J76" s="27" t="s">
        <v>184</v>
      </c>
      <c r="K76" s="28" t="n">
        <v>46309</v>
      </c>
      <c r="L76" s="28" t="n">
        <v>46309</v>
      </c>
      <c r="M76" s="34"/>
      <c r="N76" s="34"/>
      <c r="O76" s="29" t="n">
        <f aca="false">IF(OR(K76="",L76=""),"",IF(L76&lt;K76,"날짜 확인",NETWORKDAYS(K76,L76,휴일!$A$2:$A$2)))</f>
        <v>1</v>
      </c>
      <c r="P76" s="29" t="str">
        <f aca="false">IF(OR(M76="",N76=""),"",IF(N76&lt;M76,"날짜 확인",NETWORKDAYS(M76,N76,휴일!$A$2:$A$2)))</f>
        <v/>
      </c>
      <c r="Q76" s="29" t="n">
        <f aca="false">IF(O76="","",IF($L$1&lt;K76,0,NETWORKDAYS(K76,MIN($L$1,L76),휴일!$A$2:$A$2)))</f>
        <v>0</v>
      </c>
      <c r="R76" s="29" t="str">
        <f aca="false">IF(M76="","",IF($L$1&lt;M76,0,NETWORKDAYS(M76,IF(N76="",$L$1,MIN($L$1,N76)),휴일!$A$2:$A$2)))</f>
        <v/>
      </c>
      <c r="S76" s="30" t="n">
        <f aca="false">IF(O76="","",IF(O76=0,0,Q76/O76))</f>
        <v>0</v>
      </c>
      <c r="T76" s="31" t="n">
        <f aca="false">IF(OR(AND(AG76&lt;&gt;"",OR(NOT(ISNUMBER(AG76)),AG76&lt;=0)),AND(AH76&lt;&gt;"",OR(NOT(ISNUMBER(AH76)),AH76&lt;0)),AND(ISNUMBER(AG76),ISNUMBER(AH76),AH76&gt;AG76)),"수량 확인",IF(AF76="완료",1,IF(AF76="미착수",0,IF(AND(ISNUMBER(AG76),ISNUMBER(AH76)),AH76/AG76,""))))</f>
        <v>0</v>
      </c>
      <c r="U76" s="30" t="n">
        <f aca="false">IF(T76="","",T76)</f>
        <v>0</v>
      </c>
      <c r="V76" s="30" t="n">
        <f aca="false">IF(OR(U76="",S76=""),"",U76-S76)</f>
        <v>0</v>
      </c>
      <c r="W76" s="32" t="str">
        <f aca="false">IF(AND(ISNUMBER($M76),W$5&gt;=$M76,W$5&lt;=IF($N76="",$L$1,$N76),WEEKDAY(W$5,2)&lt;6,COUNTIF(휴일!$A$2:$A$2,W$5)=0),2,IF(AND(ISNUMBER($K76),W$5&gt;=$K76,W$5&lt;=$L76,WEEKDAY(W$5,2)&lt;6,COUNTIF(휴일!$A$2:$A$2,W$5)=0),1,""))</f>
        <v/>
      </c>
      <c r="X76" s="32" t="str">
        <f aca="false">IF(AND(ISNUMBER($M76),X$5&gt;=$M76,X$5&lt;=IF($N76="",$L$1,$N76),WEEKDAY(X$5,2)&lt;6,COUNTIF(휴일!$A$2:$A$2,X$5)=0),2,IF(AND(ISNUMBER($K76),X$5&gt;=$K76,X$5&lt;=$L76,WEEKDAY(X$5,2)&lt;6,COUNTIF(휴일!$A$2:$A$2,X$5)=0),1,""))</f>
        <v/>
      </c>
      <c r="Y76" s="32" t="str">
        <f aca="false">IF(AND(ISNUMBER($M76),Y$5&gt;=$M76,Y$5&lt;=IF($N76="",$L$1,$N76),WEEKDAY(Y$5,2)&lt;6,COUNTIF(휴일!$A$2:$A$2,Y$5)=0),2,IF(AND(ISNUMBER($K76),Y$5&gt;=$K76,Y$5&lt;=$L76,WEEKDAY(Y$5,2)&lt;6,COUNTIF(휴일!$A$2:$A$2,Y$5)=0),1,""))</f>
        <v/>
      </c>
      <c r="Z76" s="33" t="str">
        <f aca="false">IF(AND(ISNUMBER($M76),Z$5&gt;=$M76,Z$5&lt;=IF($N76="",$L$1,$N76),WEEKDAY(Z$5,2)&lt;6,COUNTIF(휴일!$A$2:$A$2,Z$5)=0),2,IF(AND(ISNUMBER($K76),Z$5&gt;=$K76,Z$5&lt;=$L76,WEEKDAY(Z$5,2)&lt;6,COUNTIF(휴일!$A$2:$A$2,Z$5)=0),1,""))</f>
        <v/>
      </c>
      <c r="AA76" s="33" t="str">
        <f aca="false">IF(AND(ISNUMBER($M76),AA$5&gt;=$M76,AA$5&lt;=IF($N76="",$L$1,$N76),WEEKDAY(AA$5,2)&lt;6,COUNTIF(휴일!$A$2:$A$2,AA$5)=0),2,IF(AND(ISNUMBER($K76),AA$5&gt;=$K76,AA$5&lt;=$L76,WEEKDAY(AA$5,2)&lt;6,COUNTIF(휴일!$A$2:$A$2,AA$5)=0),1,""))</f>
        <v/>
      </c>
      <c r="AB76" s="33" t="str">
        <f aca="false">IF(AND(ISNUMBER($M76),AB$5&gt;=$M76,AB$5&lt;=IF($N76="",$L$1,$N76),WEEKDAY(AB$5,2)&lt;6,COUNTIF(휴일!$A$2:$A$2,AB$5)=0),2,IF(AND(ISNUMBER($K76),AB$5&gt;=$K76,AB$5&lt;=$L76,WEEKDAY(AB$5,2)&lt;6,COUNTIF(휴일!$A$2:$A$2,AB$5)=0),1,""))</f>
        <v/>
      </c>
      <c r="AC76" s="32" t="str">
        <f aca="false">IF(AND(ISNUMBER($M76),AC$5&gt;=$M76,AC$5&lt;=IF($N76="",$L$1,$N76),WEEKDAY(AC$5,2)&lt;6,COUNTIF(휴일!$A$2:$A$2,AC$5)=0),2,IF(AND(ISNUMBER($K76),AC$5&gt;=$K76,AC$5&lt;=$L76,WEEKDAY(AC$5,2)&lt;6,COUNTIF(휴일!$A$2:$A$2,AC$5)=0),1,""))</f>
        <v/>
      </c>
      <c r="AD76" s="32" t="str">
        <f aca="false">IF(AND(ISNUMBER($M76),AD$5&gt;=$M76,AD$5&lt;=IF($N76="",$L$1,$N76),WEEKDAY(AD$5,2)&lt;6,COUNTIF(휴일!$A$2:$A$2,AD$5)=0),2,IF(AND(ISNUMBER($K76),AD$5&gt;=$K76,AD$5&lt;=$L76,WEEKDAY(AD$5,2)&lt;6,COUNTIF(휴일!$A$2:$A$2,AD$5)=0),1,""))</f>
        <v/>
      </c>
      <c r="AE76" s="32" t="n">
        <f aca="false">IF(AND(ISNUMBER($M76),AE$5&gt;=$M76,AE$5&lt;=IF($N76="",$L$1,$N76),WEEKDAY(AE$5,2)&lt;6,COUNTIF(휴일!$A$2:$A$2,AE$5)=0),2,IF(AND(ISNUMBER($K76),AE$5&gt;=$K76,AE$5&lt;=$L76,WEEKDAY(AE$5,2)&lt;6,COUNTIF(휴일!$A$2:$A$2,AE$5)=0),1,""))</f>
        <v>1</v>
      </c>
      <c r="AF76" s="25" t="s">
        <v>159</v>
      </c>
      <c r="AG76" s="26"/>
      <c r="AH76" s="26"/>
    </row>
    <row r="77" customFormat="false" ht="54" hidden="false" customHeight="true" outlineLevel="0" collapsed="false">
      <c r="A77" s="2"/>
      <c r="B77" s="14"/>
      <c r="C77" s="14"/>
      <c r="D77" s="16"/>
      <c r="E77" s="16"/>
      <c r="F77" s="27" t="s">
        <v>185</v>
      </c>
      <c r="G77" s="27"/>
      <c r="H77" s="27" t="s">
        <v>33</v>
      </c>
      <c r="I77" s="27" t="s">
        <v>34</v>
      </c>
      <c r="J77" s="27" t="s">
        <v>186</v>
      </c>
      <c r="K77" s="28" t="n">
        <v>46309</v>
      </c>
      <c r="L77" s="28" t="n">
        <v>46309</v>
      </c>
      <c r="M77" s="34"/>
      <c r="N77" s="34"/>
      <c r="O77" s="29" t="n">
        <f aca="false">IF(OR(K77="",L77=""),"",IF(L77&lt;K77,"날짜 확인",NETWORKDAYS(K77,L77,휴일!$A$2:$A$2)))</f>
        <v>1</v>
      </c>
      <c r="P77" s="29" t="str">
        <f aca="false">IF(OR(M77="",N77=""),"",IF(N77&lt;M77,"날짜 확인",NETWORKDAYS(M77,N77,휴일!$A$2:$A$2)))</f>
        <v/>
      </c>
      <c r="Q77" s="29" t="n">
        <f aca="false">IF(O77="","",IF($L$1&lt;K77,0,NETWORKDAYS(K77,MIN($L$1,L77),휴일!$A$2:$A$2)))</f>
        <v>0</v>
      </c>
      <c r="R77" s="29" t="str">
        <f aca="false">IF(M77="","",IF($L$1&lt;M77,0,NETWORKDAYS(M77,IF(N77="",$L$1,MIN($L$1,N77)),휴일!$A$2:$A$2)))</f>
        <v/>
      </c>
      <c r="S77" s="30" t="n">
        <f aca="false">IF(O77="","",IF(O77=0,0,Q77/O77))</f>
        <v>0</v>
      </c>
      <c r="T77" s="31" t="n">
        <f aca="false">IF(OR(AND(AG77&lt;&gt;"",OR(NOT(ISNUMBER(AG77)),AG77&lt;=0)),AND(AH77&lt;&gt;"",OR(NOT(ISNUMBER(AH77)),AH77&lt;0)),AND(ISNUMBER(AG77),ISNUMBER(AH77),AH77&gt;AG77)),"수량 확인",IF(AF77="완료",1,IF(AF77="미착수",0,IF(AND(ISNUMBER(AG77),ISNUMBER(AH77)),AH77/AG77,""))))</f>
        <v>0</v>
      </c>
      <c r="U77" s="30" t="n">
        <f aca="false">IF(T77="","",T77)</f>
        <v>0</v>
      </c>
      <c r="V77" s="30" t="n">
        <f aca="false">IF(OR(U77="",S77=""),"",U77-S77)</f>
        <v>0</v>
      </c>
      <c r="W77" s="32" t="str">
        <f aca="false">IF(AND(ISNUMBER($M77),W$5&gt;=$M77,W$5&lt;=IF($N77="",$L$1,$N77),WEEKDAY(W$5,2)&lt;6,COUNTIF(휴일!$A$2:$A$2,W$5)=0),2,IF(AND(ISNUMBER($K77),W$5&gt;=$K77,W$5&lt;=$L77,WEEKDAY(W$5,2)&lt;6,COUNTIF(휴일!$A$2:$A$2,W$5)=0),1,""))</f>
        <v/>
      </c>
      <c r="X77" s="32" t="str">
        <f aca="false">IF(AND(ISNUMBER($M77),X$5&gt;=$M77,X$5&lt;=IF($N77="",$L$1,$N77),WEEKDAY(X$5,2)&lt;6,COUNTIF(휴일!$A$2:$A$2,X$5)=0),2,IF(AND(ISNUMBER($K77),X$5&gt;=$K77,X$5&lt;=$L77,WEEKDAY(X$5,2)&lt;6,COUNTIF(휴일!$A$2:$A$2,X$5)=0),1,""))</f>
        <v/>
      </c>
      <c r="Y77" s="32" t="str">
        <f aca="false">IF(AND(ISNUMBER($M77),Y$5&gt;=$M77,Y$5&lt;=IF($N77="",$L$1,$N77),WEEKDAY(Y$5,2)&lt;6,COUNTIF(휴일!$A$2:$A$2,Y$5)=0),2,IF(AND(ISNUMBER($K77),Y$5&gt;=$K77,Y$5&lt;=$L77,WEEKDAY(Y$5,2)&lt;6,COUNTIF(휴일!$A$2:$A$2,Y$5)=0),1,""))</f>
        <v/>
      </c>
      <c r="Z77" s="33" t="str">
        <f aca="false">IF(AND(ISNUMBER($M77),Z$5&gt;=$M77,Z$5&lt;=IF($N77="",$L$1,$N77),WEEKDAY(Z$5,2)&lt;6,COUNTIF(휴일!$A$2:$A$2,Z$5)=0),2,IF(AND(ISNUMBER($K77),Z$5&gt;=$K77,Z$5&lt;=$L77,WEEKDAY(Z$5,2)&lt;6,COUNTIF(휴일!$A$2:$A$2,Z$5)=0),1,""))</f>
        <v/>
      </c>
      <c r="AA77" s="33" t="str">
        <f aca="false">IF(AND(ISNUMBER($M77),AA$5&gt;=$M77,AA$5&lt;=IF($N77="",$L$1,$N77),WEEKDAY(AA$5,2)&lt;6,COUNTIF(휴일!$A$2:$A$2,AA$5)=0),2,IF(AND(ISNUMBER($K77),AA$5&gt;=$K77,AA$5&lt;=$L77,WEEKDAY(AA$5,2)&lt;6,COUNTIF(휴일!$A$2:$A$2,AA$5)=0),1,""))</f>
        <v/>
      </c>
      <c r="AB77" s="33" t="str">
        <f aca="false">IF(AND(ISNUMBER($M77),AB$5&gt;=$M77,AB$5&lt;=IF($N77="",$L$1,$N77),WEEKDAY(AB$5,2)&lt;6,COUNTIF(휴일!$A$2:$A$2,AB$5)=0),2,IF(AND(ISNUMBER($K77),AB$5&gt;=$K77,AB$5&lt;=$L77,WEEKDAY(AB$5,2)&lt;6,COUNTIF(휴일!$A$2:$A$2,AB$5)=0),1,""))</f>
        <v/>
      </c>
      <c r="AC77" s="32" t="str">
        <f aca="false">IF(AND(ISNUMBER($M77),AC$5&gt;=$M77,AC$5&lt;=IF($N77="",$L$1,$N77),WEEKDAY(AC$5,2)&lt;6,COUNTIF(휴일!$A$2:$A$2,AC$5)=0),2,IF(AND(ISNUMBER($K77),AC$5&gt;=$K77,AC$5&lt;=$L77,WEEKDAY(AC$5,2)&lt;6,COUNTIF(휴일!$A$2:$A$2,AC$5)=0),1,""))</f>
        <v/>
      </c>
      <c r="AD77" s="32" t="str">
        <f aca="false">IF(AND(ISNUMBER($M77),AD$5&gt;=$M77,AD$5&lt;=IF($N77="",$L$1,$N77),WEEKDAY(AD$5,2)&lt;6,COUNTIF(휴일!$A$2:$A$2,AD$5)=0),2,IF(AND(ISNUMBER($K77),AD$5&gt;=$K77,AD$5&lt;=$L77,WEEKDAY(AD$5,2)&lt;6,COUNTIF(휴일!$A$2:$A$2,AD$5)=0),1,""))</f>
        <v/>
      </c>
      <c r="AE77" s="32" t="n">
        <f aca="false">IF(AND(ISNUMBER($M77),AE$5&gt;=$M77,AE$5&lt;=IF($N77="",$L$1,$N77),WEEKDAY(AE$5,2)&lt;6,COUNTIF(휴일!$A$2:$A$2,AE$5)=0),2,IF(AND(ISNUMBER($K77),AE$5&gt;=$K77,AE$5&lt;=$L77,WEEKDAY(AE$5,2)&lt;6,COUNTIF(휴일!$A$2:$A$2,AE$5)=0),1,""))</f>
        <v>1</v>
      </c>
      <c r="AF77" s="25" t="s">
        <v>159</v>
      </c>
      <c r="AG77" s="26"/>
      <c r="AH77" s="26"/>
    </row>
    <row r="78" customFormat="false" ht="54" hidden="false" customHeight="true" outlineLevel="0" collapsed="false">
      <c r="A78" s="2"/>
      <c r="B78" s="14"/>
      <c r="C78" s="14"/>
      <c r="D78" s="16"/>
      <c r="E78" s="16"/>
      <c r="F78" s="27" t="s">
        <v>187</v>
      </c>
      <c r="G78" s="27"/>
      <c r="H78" s="27" t="s">
        <v>34</v>
      </c>
      <c r="I78" s="27" t="s">
        <v>33</v>
      </c>
      <c r="J78" s="27" t="s">
        <v>188</v>
      </c>
      <c r="K78" s="28" t="n">
        <v>46309</v>
      </c>
      <c r="L78" s="28" t="n">
        <v>46309</v>
      </c>
      <c r="M78" s="34"/>
      <c r="N78" s="34"/>
      <c r="O78" s="29" t="n">
        <f aca="false">IF(OR(K78="",L78=""),"",IF(L78&lt;K78,"날짜 확인",NETWORKDAYS(K78,L78,휴일!$A$2:$A$2)))</f>
        <v>1</v>
      </c>
      <c r="P78" s="29" t="str">
        <f aca="false">IF(OR(M78="",N78=""),"",IF(N78&lt;M78,"날짜 확인",NETWORKDAYS(M78,N78,휴일!$A$2:$A$2)))</f>
        <v/>
      </c>
      <c r="Q78" s="29" t="n">
        <f aca="false">IF(O78="","",IF($L$1&lt;K78,0,NETWORKDAYS(K78,MIN($L$1,L78),휴일!$A$2:$A$2)))</f>
        <v>0</v>
      </c>
      <c r="R78" s="29" t="str">
        <f aca="false">IF(M78="","",IF($L$1&lt;M78,0,NETWORKDAYS(M78,IF(N78="",$L$1,MIN($L$1,N78)),휴일!$A$2:$A$2)))</f>
        <v/>
      </c>
      <c r="S78" s="30" t="n">
        <f aca="false">IF(O78="","",IF(O78=0,0,Q78/O78))</f>
        <v>0</v>
      </c>
      <c r="T78" s="31" t="n">
        <f aca="false">IF(OR(AND(AG78&lt;&gt;"",OR(NOT(ISNUMBER(AG78)),AG78&lt;=0)),AND(AH78&lt;&gt;"",OR(NOT(ISNUMBER(AH78)),AH78&lt;0)),AND(ISNUMBER(AG78),ISNUMBER(AH78),AH78&gt;AG78)),"수량 확인",IF(AF78="완료",1,IF(AF78="미착수",0,IF(AND(ISNUMBER(AG78),ISNUMBER(AH78)),AH78/AG78,""))))</f>
        <v>0</v>
      </c>
      <c r="U78" s="30" t="n">
        <f aca="false">IF(T78="","",T78)</f>
        <v>0</v>
      </c>
      <c r="V78" s="30" t="n">
        <f aca="false">IF(OR(U78="",S78=""),"",U78-S78)</f>
        <v>0</v>
      </c>
      <c r="W78" s="32" t="str">
        <f aca="false">IF(AND(ISNUMBER($M78),W$5&gt;=$M78,W$5&lt;=IF($N78="",$L$1,$N78),WEEKDAY(W$5,2)&lt;6,COUNTIF(휴일!$A$2:$A$2,W$5)=0),2,IF(AND(ISNUMBER($K78),W$5&gt;=$K78,W$5&lt;=$L78,WEEKDAY(W$5,2)&lt;6,COUNTIF(휴일!$A$2:$A$2,W$5)=0),1,""))</f>
        <v/>
      </c>
      <c r="X78" s="32" t="str">
        <f aca="false">IF(AND(ISNUMBER($M78),X$5&gt;=$M78,X$5&lt;=IF($N78="",$L$1,$N78),WEEKDAY(X$5,2)&lt;6,COUNTIF(휴일!$A$2:$A$2,X$5)=0),2,IF(AND(ISNUMBER($K78),X$5&gt;=$K78,X$5&lt;=$L78,WEEKDAY(X$5,2)&lt;6,COUNTIF(휴일!$A$2:$A$2,X$5)=0),1,""))</f>
        <v/>
      </c>
      <c r="Y78" s="32" t="str">
        <f aca="false">IF(AND(ISNUMBER($M78),Y$5&gt;=$M78,Y$5&lt;=IF($N78="",$L$1,$N78),WEEKDAY(Y$5,2)&lt;6,COUNTIF(휴일!$A$2:$A$2,Y$5)=0),2,IF(AND(ISNUMBER($K78),Y$5&gt;=$K78,Y$5&lt;=$L78,WEEKDAY(Y$5,2)&lt;6,COUNTIF(휴일!$A$2:$A$2,Y$5)=0),1,""))</f>
        <v/>
      </c>
      <c r="Z78" s="33" t="str">
        <f aca="false">IF(AND(ISNUMBER($M78),Z$5&gt;=$M78,Z$5&lt;=IF($N78="",$L$1,$N78),WEEKDAY(Z$5,2)&lt;6,COUNTIF(휴일!$A$2:$A$2,Z$5)=0),2,IF(AND(ISNUMBER($K78),Z$5&gt;=$K78,Z$5&lt;=$L78,WEEKDAY(Z$5,2)&lt;6,COUNTIF(휴일!$A$2:$A$2,Z$5)=0),1,""))</f>
        <v/>
      </c>
      <c r="AA78" s="33" t="str">
        <f aca="false">IF(AND(ISNUMBER($M78),AA$5&gt;=$M78,AA$5&lt;=IF($N78="",$L$1,$N78),WEEKDAY(AA$5,2)&lt;6,COUNTIF(휴일!$A$2:$A$2,AA$5)=0),2,IF(AND(ISNUMBER($K78),AA$5&gt;=$K78,AA$5&lt;=$L78,WEEKDAY(AA$5,2)&lt;6,COUNTIF(휴일!$A$2:$A$2,AA$5)=0),1,""))</f>
        <v/>
      </c>
      <c r="AB78" s="33" t="str">
        <f aca="false">IF(AND(ISNUMBER($M78),AB$5&gt;=$M78,AB$5&lt;=IF($N78="",$L$1,$N78),WEEKDAY(AB$5,2)&lt;6,COUNTIF(휴일!$A$2:$A$2,AB$5)=0),2,IF(AND(ISNUMBER($K78),AB$5&gt;=$K78,AB$5&lt;=$L78,WEEKDAY(AB$5,2)&lt;6,COUNTIF(휴일!$A$2:$A$2,AB$5)=0),1,""))</f>
        <v/>
      </c>
      <c r="AC78" s="32" t="str">
        <f aca="false">IF(AND(ISNUMBER($M78),AC$5&gt;=$M78,AC$5&lt;=IF($N78="",$L$1,$N78),WEEKDAY(AC$5,2)&lt;6,COUNTIF(휴일!$A$2:$A$2,AC$5)=0),2,IF(AND(ISNUMBER($K78),AC$5&gt;=$K78,AC$5&lt;=$L78,WEEKDAY(AC$5,2)&lt;6,COUNTIF(휴일!$A$2:$A$2,AC$5)=0),1,""))</f>
        <v/>
      </c>
      <c r="AD78" s="32" t="str">
        <f aca="false">IF(AND(ISNUMBER($M78),AD$5&gt;=$M78,AD$5&lt;=IF($N78="",$L$1,$N78),WEEKDAY(AD$5,2)&lt;6,COUNTIF(휴일!$A$2:$A$2,AD$5)=0),2,IF(AND(ISNUMBER($K78),AD$5&gt;=$K78,AD$5&lt;=$L78,WEEKDAY(AD$5,2)&lt;6,COUNTIF(휴일!$A$2:$A$2,AD$5)=0),1,""))</f>
        <v/>
      </c>
      <c r="AE78" s="32" t="n">
        <f aca="false">IF(AND(ISNUMBER($M78),AE$5&gt;=$M78,AE$5&lt;=IF($N78="",$L$1,$N78),WEEKDAY(AE$5,2)&lt;6,COUNTIF(휴일!$A$2:$A$2,AE$5)=0),2,IF(AND(ISNUMBER($K78),AE$5&gt;=$K78,AE$5&lt;=$L78,WEEKDAY(AE$5,2)&lt;6,COUNTIF(휴일!$A$2:$A$2,AE$5)=0),1,""))</f>
        <v>1</v>
      </c>
      <c r="AF78" s="25" t="s">
        <v>159</v>
      </c>
      <c r="AG78" s="26"/>
      <c r="AH78" s="26"/>
    </row>
    <row r="79" customFormat="false" ht="54" hidden="false" customHeight="true" outlineLevel="0" collapsed="false">
      <c r="A79" s="2"/>
      <c r="B79" s="14"/>
      <c r="C79" s="14"/>
      <c r="D79" s="16"/>
      <c r="E79" s="16"/>
      <c r="F79" s="27" t="s">
        <v>189</v>
      </c>
      <c r="G79" s="27"/>
      <c r="H79" s="27" t="s">
        <v>33</v>
      </c>
      <c r="I79" s="27" t="s">
        <v>34</v>
      </c>
      <c r="J79" s="27" t="s">
        <v>190</v>
      </c>
      <c r="K79" s="28" t="n">
        <v>46309</v>
      </c>
      <c r="L79" s="28" t="n">
        <v>46309</v>
      </c>
      <c r="M79" s="34" t="n">
        <v>46307</v>
      </c>
      <c r="N79" s="34"/>
      <c r="O79" s="29" t="n">
        <f aca="false">IF(OR(K79="",L79=""),"",IF(L79&lt;K79,"날짜 확인",NETWORKDAYS(K79,L79,휴일!$A$2:$A$2)))</f>
        <v>1</v>
      </c>
      <c r="P79" s="29" t="str">
        <f aca="false">IF(OR(M79="",N79=""),"",IF(N79&lt;M79,"날짜 확인",NETWORKDAYS(M79,N79,휴일!$A$2:$A$2)))</f>
        <v/>
      </c>
      <c r="Q79" s="29" t="n">
        <f aca="false">IF(O79="","",IF($L$1&lt;K79,0,NETWORKDAYS(K79,MIN($L$1,L79),휴일!$A$2:$A$2)))</f>
        <v>0</v>
      </c>
      <c r="R79" s="29" t="n">
        <f aca="false">IF(M79="","",IF($L$1&lt;M79,0,NETWORKDAYS(M79,IF(N79="",$L$1,MIN($L$1,N79)),휴일!$A$2:$A$2)))</f>
        <v>2</v>
      </c>
      <c r="S79" s="30" t="n">
        <f aca="false">IF(O79="","",IF(O79=0,0,Q79/O79))</f>
        <v>0</v>
      </c>
      <c r="T79" s="31" t="n">
        <f aca="false">IF(OR(AND(AG79&lt;&gt;"",OR(NOT(ISNUMBER(AG79)),AG79&lt;=0)),AND(AH79&lt;&gt;"",OR(NOT(ISNUMBER(AH79)),AH79&lt;0)),AND(ISNUMBER(AG79),ISNUMBER(AH79),AH79&gt;AG79)),"수량 확인",IF(AF79="완료",1,IF(AF79="미착수",0,IF(AND(ISNUMBER(AG79),ISNUMBER(AH79)),AH79/AG79,""))))</f>
        <v>0.75</v>
      </c>
      <c r="U79" s="30" t="n">
        <f aca="false">IF(T79="","",T79)</f>
        <v>0.75</v>
      </c>
      <c r="V79" s="30" t="n">
        <f aca="false">IF(OR(U79="",S79=""),"",U79-S79)</f>
        <v>0.75</v>
      </c>
      <c r="W79" s="32" t="str">
        <f aca="false">IF(AND(ISNUMBER($M79),W$5&gt;=$M79,W$5&lt;=IF($N79="",$L$1,$N79),WEEKDAY(W$5,2)&lt;6,COUNTIF(휴일!$A$2:$A$2,W$5)=0),2,IF(AND(ISNUMBER($K79),W$5&gt;=$K79,W$5&lt;=$L79,WEEKDAY(W$5,2)&lt;6,COUNTIF(휴일!$A$2:$A$2,W$5)=0),1,""))</f>
        <v/>
      </c>
      <c r="X79" s="32" t="str">
        <f aca="false">IF(AND(ISNUMBER($M79),X$5&gt;=$M79,X$5&lt;=IF($N79="",$L$1,$N79),WEEKDAY(X$5,2)&lt;6,COUNTIF(휴일!$A$2:$A$2,X$5)=0),2,IF(AND(ISNUMBER($K79),X$5&gt;=$K79,X$5&lt;=$L79,WEEKDAY(X$5,2)&lt;6,COUNTIF(휴일!$A$2:$A$2,X$5)=0),1,""))</f>
        <v/>
      </c>
      <c r="Y79" s="32" t="str">
        <f aca="false">IF(AND(ISNUMBER($M79),Y$5&gt;=$M79,Y$5&lt;=IF($N79="",$L$1,$N79),WEEKDAY(Y$5,2)&lt;6,COUNTIF(휴일!$A$2:$A$2,Y$5)=0),2,IF(AND(ISNUMBER($K79),Y$5&gt;=$K79,Y$5&lt;=$L79,WEEKDAY(Y$5,2)&lt;6,COUNTIF(휴일!$A$2:$A$2,Y$5)=0),1,""))</f>
        <v/>
      </c>
      <c r="Z79" s="33" t="str">
        <f aca="false">IF(AND(ISNUMBER($M79),Z$5&gt;=$M79,Z$5&lt;=IF($N79="",$L$1,$N79),WEEKDAY(Z$5,2)&lt;6,COUNTIF(휴일!$A$2:$A$2,Z$5)=0),2,IF(AND(ISNUMBER($K79),Z$5&gt;=$K79,Z$5&lt;=$L79,WEEKDAY(Z$5,2)&lt;6,COUNTIF(휴일!$A$2:$A$2,Z$5)=0),1,""))</f>
        <v/>
      </c>
      <c r="AA79" s="33" t="str">
        <f aca="false">IF(AND(ISNUMBER($M79),AA$5&gt;=$M79,AA$5&lt;=IF($N79="",$L$1,$N79),WEEKDAY(AA$5,2)&lt;6,COUNTIF(휴일!$A$2:$A$2,AA$5)=0),2,IF(AND(ISNUMBER($K79),AA$5&gt;=$K79,AA$5&lt;=$L79,WEEKDAY(AA$5,2)&lt;6,COUNTIF(휴일!$A$2:$A$2,AA$5)=0),1,""))</f>
        <v/>
      </c>
      <c r="AB79" s="33" t="str">
        <f aca="false">IF(AND(ISNUMBER($M79),AB$5&gt;=$M79,AB$5&lt;=IF($N79="",$L$1,$N79),WEEKDAY(AB$5,2)&lt;6,COUNTIF(휴일!$A$2:$A$2,AB$5)=0),2,IF(AND(ISNUMBER($K79),AB$5&gt;=$K79,AB$5&lt;=$L79,WEEKDAY(AB$5,2)&lt;6,COUNTIF(휴일!$A$2:$A$2,AB$5)=0),1,""))</f>
        <v/>
      </c>
      <c r="AC79" s="32" t="n">
        <f aca="false">IF(AND(ISNUMBER($M79),AC$5&gt;=$M79,AC$5&lt;=IF($N79="",$L$1,$N79),WEEKDAY(AC$5,2)&lt;6,COUNTIF(휴일!$A$2:$A$2,AC$5)=0),2,IF(AND(ISNUMBER($K79),AC$5&gt;=$K79,AC$5&lt;=$L79,WEEKDAY(AC$5,2)&lt;6,COUNTIF(휴일!$A$2:$A$2,AC$5)=0),1,""))</f>
        <v>2</v>
      </c>
      <c r="AD79" s="32" t="n">
        <f aca="false">IF(AND(ISNUMBER($M79),AD$5&gt;=$M79,AD$5&lt;=IF($N79="",$L$1,$N79),WEEKDAY(AD$5,2)&lt;6,COUNTIF(휴일!$A$2:$A$2,AD$5)=0),2,IF(AND(ISNUMBER($K79),AD$5&gt;=$K79,AD$5&lt;=$L79,WEEKDAY(AD$5,2)&lt;6,COUNTIF(휴일!$A$2:$A$2,AD$5)=0),1,""))</f>
        <v>2</v>
      </c>
      <c r="AE79" s="32" t="n">
        <f aca="false">IF(AND(ISNUMBER($M79),AE$5&gt;=$M79,AE$5&lt;=IF($N79="",$L$1,$N79),WEEKDAY(AE$5,2)&lt;6,COUNTIF(휴일!$A$2:$A$2,AE$5)=0),2,IF(AND(ISNUMBER($K79),AE$5&gt;=$K79,AE$5&lt;=$L79,WEEKDAY(AE$5,2)&lt;6,COUNTIF(휴일!$A$2:$A$2,AE$5)=0),1,""))</f>
        <v>1</v>
      </c>
      <c r="AF79" s="25" t="s">
        <v>191</v>
      </c>
      <c r="AG79" s="26" t="n">
        <v>4</v>
      </c>
      <c r="AH79" s="26" t="n">
        <v>3</v>
      </c>
    </row>
    <row r="80" customFormat="false" ht="54" hidden="false" customHeight="true" outlineLevel="0" collapsed="false">
      <c r="A80" s="2"/>
      <c r="B80" s="14"/>
      <c r="C80" s="14"/>
      <c r="D80" s="16"/>
      <c r="E80" s="16"/>
      <c r="F80" s="27" t="s">
        <v>192</v>
      </c>
      <c r="G80" s="27"/>
      <c r="H80" s="27" t="s">
        <v>34</v>
      </c>
      <c r="I80" s="27" t="s">
        <v>33</v>
      </c>
      <c r="J80" s="27" t="s">
        <v>193</v>
      </c>
      <c r="K80" s="28" t="n">
        <v>46309</v>
      </c>
      <c r="L80" s="28" t="n">
        <v>46309</v>
      </c>
      <c r="M80" s="34" t="n">
        <v>46307</v>
      </c>
      <c r="N80" s="34"/>
      <c r="O80" s="29" t="n">
        <f aca="false">IF(OR(K80="",L80=""),"",IF(L80&lt;K80,"날짜 확인",NETWORKDAYS(K80,L80,휴일!$A$2:$A$2)))</f>
        <v>1</v>
      </c>
      <c r="P80" s="29" t="str">
        <f aca="false">IF(OR(M80="",N80=""),"",IF(N80&lt;M80,"날짜 확인",NETWORKDAYS(M80,N80,휴일!$A$2:$A$2)))</f>
        <v/>
      </c>
      <c r="Q80" s="29" t="n">
        <f aca="false">IF(O80="","",IF($L$1&lt;K80,0,NETWORKDAYS(K80,MIN($L$1,L80),휴일!$A$2:$A$2)))</f>
        <v>0</v>
      </c>
      <c r="R80" s="29" t="n">
        <f aca="false">IF(M80="","",IF($L$1&lt;M80,0,NETWORKDAYS(M80,IF(N80="",$L$1,MIN($L$1,N80)),휴일!$A$2:$A$2)))</f>
        <v>2</v>
      </c>
      <c r="S80" s="30" t="n">
        <f aca="false">IF(O80="","",IF(O80=0,0,Q80/O80))</f>
        <v>0</v>
      </c>
      <c r="T80" s="31" t="n">
        <f aca="false">IF(OR(AND(AG80&lt;&gt;"",OR(NOT(ISNUMBER(AG80)),AG80&lt;=0)),AND(AH80&lt;&gt;"",OR(NOT(ISNUMBER(AH80)),AH80&lt;0)),AND(ISNUMBER(AG80),ISNUMBER(AH80),AH80&gt;AG80)),"수량 확인",IF(AF80="완료",1,IF(AF80="미착수",0,IF(AND(ISNUMBER(AG80),ISNUMBER(AH80)),AH80/AG80,""))))</f>
        <v>0.666666666666667</v>
      </c>
      <c r="U80" s="30" t="n">
        <f aca="false">IF(T80="","",T80)</f>
        <v>0.666666666666667</v>
      </c>
      <c r="V80" s="30" t="n">
        <f aca="false">IF(OR(U80="",S80=""),"",U80-S80)</f>
        <v>0.666666666666667</v>
      </c>
      <c r="W80" s="32" t="str">
        <f aca="false">IF(AND(ISNUMBER($M80),W$5&gt;=$M80,W$5&lt;=IF($N80="",$L$1,$N80),WEEKDAY(W$5,2)&lt;6,COUNTIF(휴일!$A$2:$A$2,W$5)=0),2,IF(AND(ISNUMBER($K80),W$5&gt;=$K80,W$5&lt;=$L80,WEEKDAY(W$5,2)&lt;6,COUNTIF(휴일!$A$2:$A$2,W$5)=0),1,""))</f>
        <v/>
      </c>
      <c r="X80" s="32" t="str">
        <f aca="false">IF(AND(ISNUMBER($M80),X$5&gt;=$M80,X$5&lt;=IF($N80="",$L$1,$N80),WEEKDAY(X$5,2)&lt;6,COUNTIF(휴일!$A$2:$A$2,X$5)=0),2,IF(AND(ISNUMBER($K80),X$5&gt;=$K80,X$5&lt;=$L80,WEEKDAY(X$5,2)&lt;6,COUNTIF(휴일!$A$2:$A$2,X$5)=0),1,""))</f>
        <v/>
      </c>
      <c r="Y80" s="32" t="str">
        <f aca="false">IF(AND(ISNUMBER($M80),Y$5&gt;=$M80,Y$5&lt;=IF($N80="",$L$1,$N80),WEEKDAY(Y$5,2)&lt;6,COUNTIF(휴일!$A$2:$A$2,Y$5)=0),2,IF(AND(ISNUMBER($K80),Y$5&gt;=$K80,Y$5&lt;=$L80,WEEKDAY(Y$5,2)&lt;6,COUNTIF(휴일!$A$2:$A$2,Y$5)=0),1,""))</f>
        <v/>
      </c>
      <c r="Z80" s="33" t="str">
        <f aca="false">IF(AND(ISNUMBER($M80),Z$5&gt;=$M80,Z$5&lt;=IF($N80="",$L$1,$N80),WEEKDAY(Z$5,2)&lt;6,COUNTIF(휴일!$A$2:$A$2,Z$5)=0),2,IF(AND(ISNUMBER($K80),Z$5&gt;=$K80,Z$5&lt;=$L80,WEEKDAY(Z$5,2)&lt;6,COUNTIF(휴일!$A$2:$A$2,Z$5)=0),1,""))</f>
        <v/>
      </c>
      <c r="AA80" s="33" t="str">
        <f aca="false">IF(AND(ISNUMBER($M80),AA$5&gt;=$M80,AA$5&lt;=IF($N80="",$L$1,$N80),WEEKDAY(AA$5,2)&lt;6,COUNTIF(휴일!$A$2:$A$2,AA$5)=0),2,IF(AND(ISNUMBER($K80),AA$5&gt;=$K80,AA$5&lt;=$L80,WEEKDAY(AA$5,2)&lt;6,COUNTIF(휴일!$A$2:$A$2,AA$5)=0),1,""))</f>
        <v/>
      </c>
      <c r="AB80" s="33" t="str">
        <f aca="false">IF(AND(ISNUMBER($M80),AB$5&gt;=$M80,AB$5&lt;=IF($N80="",$L$1,$N80),WEEKDAY(AB$5,2)&lt;6,COUNTIF(휴일!$A$2:$A$2,AB$5)=0),2,IF(AND(ISNUMBER($K80),AB$5&gt;=$K80,AB$5&lt;=$L80,WEEKDAY(AB$5,2)&lt;6,COUNTIF(휴일!$A$2:$A$2,AB$5)=0),1,""))</f>
        <v/>
      </c>
      <c r="AC80" s="32" t="n">
        <f aca="false">IF(AND(ISNUMBER($M80),AC$5&gt;=$M80,AC$5&lt;=IF($N80="",$L$1,$N80),WEEKDAY(AC$5,2)&lt;6,COUNTIF(휴일!$A$2:$A$2,AC$5)=0),2,IF(AND(ISNUMBER($K80),AC$5&gt;=$K80,AC$5&lt;=$L80,WEEKDAY(AC$5,2)&lt;6,COUNTIF(휴일!$A$2:$A$2,AC$5)=0),1,""))</f>
        <v>2</v>
      </c>
      <c r="AD80" s="32" t="n">
        <f aca="false">IF(AND(ISNUMBER($M80),AD$5&gt;=$M80,AD$5&lt;=IF($N80="",$L$1,$N80),WEEKDAY(AD$5,2)&lt;6,COUNTIF(휴일!$A$2:$A$2,AD$5)=0),2,IF(AND(ISNUMBER($K80),AD$5&gt;=$K80,AD$5&lt;=$L80,WEEKDAY(AD$5,2)&lt;6,COUNTIF(휴일!$A$2:$A$2,AD$5)=0),1,""))</f>
        <v>2</v>
      </c>
      <c r="AE80" s="32" t="n">
        <f aca="false">IF(AND(ISNUMBER($M80),AE$5&gt;=$M80,AE$5&lt;=IF($N80="",$L$1,$N80),WEEKDAY(AE$5,2)&lt;6,COUNTIF(휴일!$A$2:$A$2,AE$5)=0),2,IF(AND(ISNUMBER($K80),AE$5&gt;=$K80,AE$5&lt;=$L80,WEEKDAY(AE$5,2)&lt;6,COUNTIF(휴일!$A$2:$A$2,AE$5)=0),1,""))</f>
        <v>1</v>
      </c>
      <c r="AF80" s="25" t="s">
        <v>191</v>
      </c>
      <c r="AG80" s="26" t="n">
        <v>3</v>
      </c>
      <c r="AH80" s="26" t="n">
        <v>2</v>
      </c>
    </row>
    <row r="81" customFormat="false" ht="54" hidden="false" customHeight="true" outlineLevel="0" collapsed="false">
      <c r="A81" s="2"/>
      <c r="B81" s="14"/>
      <c r="C81" s="14"/>
      <c r="D81" s="16"/>
      <c r="E81" s="16"/>
      <c r="F81" s="27" t="s">
        <v>194</v>
      </c>
      <c r="G81" s="27"/>
      <c r="H81" s="27" t="s">
        <v>33</v>
      </c>
      <c r="I81" s="27" t="s">
        <v>34</v>
      </c>
      <c r="J81" s="27" t="s">
        <v>195</v>
      </c>
      <c r="K81" s="28" t="n">
        <v>46309</v>
      </c>
      <c r="L81" s="28" t="n">
        <v>46309</v>
      </c>
      <c r="M81" s="34"/>
      <c r="N81" s="34"/>
      <c r="O81" s="29" t="n">
        <f aca="false">IF(OR(K81="",L81=""),"",IF(L81&lt;K81,"날짜 확인",NETWORKDAYS(K81,L81,휴일!$A$2:$A$2)))</f>
        <v>1</v>
      </c>
      <c r="P81" s="29" t="str">
        <f aca="false">IF(OR(M81="",N81=""),"",IF(N81&lt;M81,"날짜 확인",NETWORKDAYS(M81,N81,휴일!$A$2:$A$2)))</f>
        <v/>
      </c>
      <c r="Q81" s="29" t="n">
        <f aca="false">IF(O81="","",IF($L$1&lt;K81,0,NETWORKDAYS(K81,MIN($L$1,L81),휴일!$A$2:$A$2)))</f>
        <v>0</v>
      </c>
      <c r="R81" s="29" t="str">
        <f aca="false">IF(M81="","",IF($L$1&lt;M81,0,NETWORKDAYS(M81,IF(N81="",$L$1,MIN($L$1,N81)),휴일!$A$2:$A$2)))</f>
        <v/>
      </c>
      <c r="S81" s="30" t="n">
        <f aca="false">IF(O81="","",IF(O81=0,0,Q81/O81))</f>
        <v>0</v>
      </c>
      <c r="T81" s="31" t="n">
        <f aca="false">IF(OR(AND(AG81&lt;&gt;"",OR(NOT(ISNUMBER(AG81)),AG81&lt;=0)),AND(AH81&lt;&gt;"",OR(NOT(ISNUMBER(AH81)),AH81&lt;0)),AND(ISNUMBER(AG81),ISNUMBER(AH81),AH81&gt;AG81)),"수량 확인",IF(AF81="완료",1,IF(AF81="미착수",0,IF(AND(ISNUMBER(AG81),ISNUMBER(AH81)),AH81/AG81,""))))</f>
        <v>0</v>
      </c>
      <c r="U81" s="30" t="n">
        <f aca="false">IF(T81="","",T81)</f>
        <v>0</v>
      </c>
      <c r="V81" s="30" t="n">
        <f aca="false">IF(OR(U81="",S81=""),"",U81-S81)</f>
        <v>0</v>
      </c>
      <c r="W81" s="32" t="str">
        <f aca="false">IF(AND(ISNUMBER($M81),W$5&gt;=$M81,W$5&lt;=IF($N81="",$L$1,$N81),WEEKDAY(W$5,2)&lt;6,COUNTIF(휴일!$A$2:$A$2,W$5)=0),2,IF(AND(ISNUMBER($K81),W$5&gt;=$K81,W$5&lt;=$L81,WEEKDAY(W$5,2)&lt;6,COUNTIF(휴일!$A$2:$A$2,W$5)=0),1,""))</f>
        <v/>
      </c>
      <c r="X81" s="32" t="str">
        <f aca="false">IF(AND(ISNUMBER($M81),X$5&gt;=$M81,X$5&lt;=IF($N81="",$L$1,$N81),WEEKDAY(X$5,2)&lt;6,COUNTIF(휴일!$A$2:$A$2,X$5)=0),2,IF(AND(ISNUMBER($K81),X$5&gt;=$K81,X$5&lt;=$L81,WEEKDAY(X$5,2)&lt;6,COUNTIF(휴일!$A$2:$A$2,X$5)=0),1,""))</f>
        <v/>
      </c>
      <c r="Y81" s="32" t="str">
        <f aca="false">IF(AND(ISNUMBER($M81),Y$5&gt;=$M81,Y$5&lt;=IF($N81="",$L$1,$N81),WEEKDAY(Y$5,2)&lt;6,COUNTIF(휴일!$A$2:$A$2,Y$5)=0),2,IF(AND(ISNUMBER($K81),Y$5&gt;=$K81,Y$5&lt;=$L81,WEEKDAY(Y$5,2)&lt;6,COUNTIF(휴일!$A$2:$A$2,Y$5)=0),1,""))</f>
        <v/>
      </c>
      <c r="Z81" s="33" t="str">
        <f aca="false">IF(AND(ISNUMBER($M81),Z$5&gt;=$M81,Z$5&lt;=IF($N81="",$L$1,$N81),WEEKDAY(Z$5,2)&lt;6,COUNTIF(휴일!$A$2:$A$2,Z$5)=0),2,IF(AND(ISNUMBER($K81),Z$5&gt;=$K81,Z$5&lt;=$L81,WEEKDAY(Z$5,2)&lt;6,COUNTIF(휴일!$A$2:$A$2,Z$5)=0),1,""))</f>
        <v/>
      </c>
      <c r="AA81" s="33" t="str">
        <f aca="false">IF(AND(ISNUMBER($M81),AA$5&gt;=$M81,AA$5&lt;=IF($N81="",$L$1,$N81),WEEKDAY(AA$5,2)&lt;6,COUNTIF(휴일!$A$2:$A$2,AA$5)=0),2,IF(AND(ISNUMBER($K81),AA$5&gt;=$K81,AA$5&lt;=$L81,WEEKDAY(AA$5,2)&lt;6,COUNTIF(휴일!$A$2:$A$2,AA$5)=0),1,""))</f>
        <v/>
      </c>
      <c r="AB81" s="33" t="str">
        <f aca="false">IF(AND(ISNUMBER($M81),AB$5&gt;=$M81,AB$5&lt;=IF($N81="",$L$1,$N81),WEEKDAY(AB$5,2)&lt;6,COUNTIF(휴일!$A$2:$A$2,AB$5)=0),2,IF(AND(ISNUMBER($K81),AB$5&gt;=$K81,AB$5&lt;=$L81,WEEKDAY(AB$5,2)&lt;6,COUNTIF(휴일!$A$2:$A$2,AB$5)=0),1,""))</f>
        <v/>
      </c>
      <c r="AC81" s="32" t="str">
        <f aca="false">IF(AND(ISNUMBER($M81),AC$5&gt;=$M81,AC$5&lt;=IF($N81="",$L$1,$N81),WEEKDAY(AC$5,2)&lt;6,COUNTIF(휴일!$A$2:$A$2,AC$5)=0),2,IF(AND(ISNUMBER($K81),AC$5&gt;=$K81,AC$5&lt;=$L81,WEEKDAY(AC$5,2)&lt;6,COUNTIF(휴일!$A$2:$A$2,AC$5)=0),1,""))</f>
        <v/>
      </c>
      <c r="AD81" s="32" t="str">
        <f aca="false">IF(AND(ISNUMBER($M81),AD$5&gt;=$M81,AD$5&lt;=IF($N81="",$L$1,$N81),WEEKDAY(AD$5,2)&lt;6,COUNTIF(휴일!$A$2:$A$2,AD$5)=0),2,IF(AND(ISNUMBER($K81),AD$5&gt;=$K81,AD$5&lt;=$L81,WEEKDAY(AD$5,2)&lt;6,COUNTIF(휴일!$A$2:$A$2,AD$5)=0),1,""))</f>
        <v/>
      </c>
      <c r="AE81" s="32" t="n">
        <f aca="false">IF(AND(ISNUMBER($M81),AE$5&gt;=$M81,AE$5&lt;=IF($N81="",$L$1,$N81),WEEKDAY(AE$5,2)&lt;6,COUNTIF(휴일!$A$2:$A$2,AE$5)=0),2,IF(AND(ISNUMBER($K81),AE$5&gt;=$K81,AE$5&lt;=$L81,WEEKDAY(AE$5,2)&lt;6,COUNTIF(휴일!$A$2:$A$2,AE$5)=0),1,""))</f>
        <v>1</v>
      </c>
      <c r="AF81" s="25" t="s">
        <v>159</v>
      </c>
      <c r="AG81" s="26"/>
      <c r="AH81" s="26"/>
    </row>
    <row r="82" customFormat="false" ht="54" hidden="false" customHeight="true" outlineLevel="0" collapsed="false">
      <c r="A82" s="2"/>
      <c r="B82" s="14"/>
      <c r="C82" s="14"/>
      <c r="D82" s="16"/>
      <c r="E82" s="16"/>
      <c r="F82" s="27" t="s">
        <v>196</v>
      </c>
      <c r="G82" s="27"/>
      <c r="H82" s="27" t="s">
        <v>34</v>
      </c>
      <c r="I82" s="27" t="s">
        <v>33</v>
      </c>
      <c r="J82" s="27" t="s">
        <v>197</v>
      </c>
      <c r="K82" s="28" t="n">
        <v>46309</v>
      </c>
      <c r="L82" s="28" t="n">
        <v>46309</v>
      </c>
      <c r="M82" s="34"/>
      <c r="N82" s="34"/>
      <c r="O82" s="29" t="n">
        <f aca="false">IF(OR(K82="",L82=""),"",IF(L82&lt;K82,"날짜 확인",NETWORKDAYS(K82,L82,휴일!$A$2:$A$2)))</f>
        <v>1</v>
      </c>
      <c r="P82" s="29" t="str">
        <f aca="false">IF(OR(M82="",N82=""),"",IF(N82&lt;M82,"날짜 확인",NETWORKDAYS(M82,N82,휴일!$A$2:$A$2)))</f>
        <v/>
      </c>
      <c r="Q82" s="29" t="n">
        <f aca="false">IF(O82="","",IF($L$1&lt;K82,0,NETWORKDAYS(K82,MIN($L$1,L82),휴일!$A$2:$A$2)))</f>
        <v>0</v>
      </c>
      <c r="R82" s="29" t="str">
        <f aca="false">IF(M82="","",IF($L$1&lt;M82,0,NETWORKDAYS(M82,IF(N82="",$L$1,MIN($L$1,N82)),휴일!$A$2:$A$2)))</f>
        <v/>
      </c>
      <c r="S82" s="30" t="n">
        <f aca="false">IF(O82="","",IF(O82=0,0,Q82/O82))</f>
        <v>0</v>
      </c>
      <c r="T82" s="31" t="n">
        <f aca="false">IF(OR(AND(AG82&lt;&gt;"",OR(NOT(ISNUMBER(AG82)),AG82&lt;=0)),AND(AH82&lt;&gt;"",OR(NOT(ISNUMBER(AH82)),AH82&lt;0)),AND(ISNUMBER(AG82),ISNUMBER(AH82),AH82&gt;AG82)),"수량 확인",IF(AF82="완료",1,IF(AF82="미착수",0,IF(AND(ISNUMBER(AG82),ISNUMBER(AH82)),AH82/AG82,""))))</f>
        <v>0</v>
      </c>
      <c r="U82" s="30" t="n">
        <f aca="false">IF(T82="","",T82)</f>
        <v>0</v>
      </c>
      <c r="V82" s="30" t="n">
        <f aca="false">IF(OR(U82="",S82=""),"",U82-S82)</f>
        <v>0</v>
      </c>
      <c r="W82" s="32" t="str">
        <f aca="false">IF(AND(ISNUMBER($M82),W$5&gt;=$M82,W$5&lt;=IF($N82="",$L$1,$N82),WEEKDAY(W$5,2)&lt;6,COUNTIF(휴일!$A$2:$A$2,W$5)=0),2,IF(AND(ISNUMBER($K82),W$5&gt;=$K82,W$5&lt;=$L82,WEEKDAY(W$5,2)&lt;6,COUNTIF(휴일!$A$2:$A$2,W$5)=0),1,""))</f>
        <v/>
      </c>
      <c r="X82" s="32" t="str">
        <f aca="false">IF(AND(ISNUMBER($M82),X$5&gt;=$M82,X$5&lt;=IF($N82="",$L$1,$N82),WEEKDAY(X$5,2)&lt;6,COUNTIF(휴일!$A$2:$A$2,X$5)=0),2,IF(AND(ISNUMBER($K82),X$5&gt;=$K82,X$5&lt;=$L82,WEEKDAY(X$5,2)&lt;6,COUNTIF(휴일!$A$2:$A$2,X$5)=0),1,""))</f>
        <v/>
      </c>
      <c r="Y82" s="32" t="str">
        <f aca="false">IF(AND(ISNUMBER($M82),Y$5&gt;=$M82,Y$5&lt;=IF($N82="",$L$1,$N82),WEEKDAY(Y$5,2)&lt;6,COUNTIF(휴일!$A$2:$A$2,Y$5)=0),2,IF(AND(ISNUMBER($K82),Y$5&gt;=$K82,Y$5&lt;=$L82,WEEKDAY(Y$5,2)&lt;6,COUNTIF(휴일!$A$2:$A$2,Y$5)=0),1,""))</f>
        <v/>
      </c>
      <c r="Z82" s="33" t="str">
        <f aca="false">IF(AND(ISNUMBER($M82),Z$5&gt;=$M82,Z$5&lt;=IF($N82="",$L$1,$N82),WEEKDAY(Z$5,2)&lt;6,COUNTIF(휴일!$A$2:$A$2,Z$5)=0),2,IF(AND(ISNUMBER($K82),Z$5&gt;=$K82,Z$5&lt;=$L82,WEEKDAY(Z$5,2)&lt;6,COUNTIF(휴일!$A$2:$A$2,Z$5)=0),1,""))</f>
        <v/>
      </c>
      <c r="AA82" s="33" t="str">
        <f aca="false">IF(AND(ISNUMBER($M82),AA$5&gt;=$M82,AA$5&lt;=IF($N82="",$L$1,$N82),WEEKDAY(AA$5,2)&lt;6,COUNTIF(휴일!$A$2:$A$2,AA$5)=0),2,IF(AND(ISNUMBER($K82),AA$5&gt;=$K82,AA$5&lt;=$L82,WEEKDAY(AA$5,2)&lt;6,COUNTIF(휴일!$A$2:$A$2,AA$5)=0),1,""))</f>
        <v/>
      </c>
      <c r="AB82" s="33" t="str">
        <f aca="false">IF(AND(ISNUMBER($M82),AB$5&gt;=$M82,AB$5&lt;=IF($N82="",$L$1,$N82),WEEKDAY(AB$5,2)&lt;6,COUNTIF(휴일!$A$2:$A$2,AB$5)=0),2,IF(AND(ISNUMBER($K82),AB$5&gt;=$K82,AB$5&lt;=$L82,WEEKDAY(AB$5,2)&lt;6,COUNTIF(휴일!$A$2:$A$2,AB$5)=0),1,""))</f>
        <v/>
      </c>
      <c r="AC82" s="32" t="str">
        <f aca="false">IF(AND(ISNUMBER($M82),AC$5&gt;=$M82,AC$5&lt;=IF($N82="",$L$1,$N82),WEEKDAY(AC$5,2)&lt;6,COUNTIF(휴일!$A$2:$A$2,AC$5)=0),2,IF(AND(ISNUMBER($K82),AC$5&gt;=$K82,AC$5&lt;=$L82,WEEKDAY(AC$5,2)&lt;6,COUNTIF(휴일!$A$2:$A$2,AC$5)=0),1,""))</f>
        <v/>
      </c>
      <c r="AD82" s="32" t="str">
        <f aca="false">IF(AND(ISNUMBER($M82),AD$5&gt;=$M82,AD$5&lt;=IF($N82="",$L$1,$N82),WEEKDAY(AD$5,2)&lt;6,COUNTIF(휴일!$A$2:$A$2,AD$5)=0),2,IF(AND(ISNUMBER($K82),AD$5&gt;=$K82,AD$5&lt;=$L82,WEEKDAY(AD$5,2)&lt;6,COUNTIF(휴일!$A$2:$A$2,AD$5)=0),1,""))</f>
        <v/>
      </c>
      <c r="AE82" s="32" t="n">
        <f aca="false">IF(AND(ISNUMBER($M82),AE$5&gt;=$M82,AE$5&lt;=IF($N82="",$L$1,$N82),WEEKDAY(AE$5,2)&lt;6,COUNTIF(휴일!$A$2:$A$2,AE$5)=0),2,IF(AND(ISNUMBER($K82),AE$5&gt;=$K82,AE$5&lt;=$L82,WEEKDAY(AE$5,2)&lt;6,COUNTIF(휴일!$A$2:$A$2,AE$5)=0),1,""))</f>
        <v>1</v>
      </c>
      <c r="AF82" s="25" t="s">
        <v>159</v>
      </c>
      <c r="AG82" s="26"/>
      <c r="AH82" s="26"/>
    </row>
    <row r="83" customFormat="false" ht="54" hidden="false" customHeight="true" outlineLevel="0" collapsed="false">
      <c r="A83" s="2"/>
      <c r="B83" s="14"/>
      <c r="C83" s="14"/>
      <c r="D83" s="16"/>
      <c r="E83" s="16"/>
      <c r="F83" s="27" t="s">
        <v>198</v>
      </c>
      <c r="G83" s="27"/>
      <c r="H83" s="27" t="s">
        <v>33</v>
      </c>
      <c r="I83" s="27" t="s">
        <v>34</v>
      </c>
      <c r="J83" s="27" t="s">
        <v>199</v>
      </c>
      <c r="K83" s="28" t="n">
        <v>46309</v>
      </c>
      <c r="L83" s="28" t="n">
        <v>46309</v>
      </c>
      <c r="M83" s="34"/>
      <c r="N83" s="34"/>
      <c r="O83" s="29" t="n">
        <f aca="false">IF(OR(K83="",L83=""),"",IF(L83&lt;K83,"날짜 확인",NETWORKDAYS(K83,L83,휴일!$A$2:$A$2)))</f>
        <v>1</v>
      </c>
      <c r="P83" s="29" t="str">
        <f aca="false">IF(OR(M83="",N83=""),"",IF(N83&lt;M83,"날짜 확인",NETWORKDAYS(M83,N83,휴일!$A$2:$A$2)))</f>
        <v/>
      </c>
      <c r="Q83" s="29" t="n">
        <f aca="false">IF(O83="","",IF($L$1&lt;K83,0,NETWORKDAYS(K83,MIN($L$1,L83),휴일!$A$2:$A$2)))</f>
        <v>0</v>
      </c>
      <c r="R83" s="29" t="str">
        <f aca="false">IF(M83="","",IF($L$1&lt;M83,0,NETWORKDAYS(M83,IF(N83="",$L$1,MIN($L$1,N83)),휴일!$A$2:$A$2)))</f>
        <v/>
      </c>
      <c r="S83" s="30" t="n">
        <f aca="false">IF(O83="","",IF(O83=0,0,Q83/O83))</f>
        <v>0</v>
      </c>
      <c r="T83" s="31" t="n">
        <f aca="false">IF(OR(AND(AG83&lt;&gt;"",OR(NOT(ISNUMBER(AG83)),AG83&lt;=0)),AND(AH83&lt;&gt;"",OR(NOT(ISNUMBER(AH83)),AH83&lt;0)),AND(ISNUMBER(AG83),ISNUMBER(AH83),AH83&gt;AG83)),"수량 확인",IF(AF83="완료",1,IF(AF83="미착수",0,IF(AND(ISNUMBER(AG83),ISNUMBER(AH83)),AH83/AG83,""))))</f>
        <v>0</v>
      </c>
      <c r="U83" s="30" t="n">
        <f aca="false">IF(T83="","",T83)</f>
        <v>0</v>
      </c>
      <c r="V83" s="30" t="n">
        <f aca="false">IF(OR(U83="",S83=""),"",U83-S83)</f>
        <v>0</v>
      </c>
      <c r="W83" s="32" t="str">
        <f aca="false">IF(AND(ISNUMBER($M83),W$5&gt;=$M83,W$5&lt;=IF($N83="",$L$1,$N83),WEEKDAY(W$5,2)&lt;6,COUNTIF(휴일!$A$2:$A$2,W$5)=0),2,IF(AND(ISNUMBER($K83),W$5&gt;=$K83,W$5&lt;=$L83,WEEKDAY(W$5,2)&lt;6,COUNTIF(휴일!$A$2:$A$2,W$5)=0),1,""))</f>
        <v/>
      </c>
      <c r="X83" s="32" t="str">
        <f aca="false">IF(AND(ISNUMBER($M83),X$5&gt;=$M83,X$5&lt;=IF($N83="",$L$1,$N83),WEEKDAY(X$5,2)&lt;6,COUNTIF(휴일!$A$2:$A$2,X$5)=0),2,IF(AND(ISNUMBER($K83),X$5&gt;=$K83,X$5&lt;=$L83,WEEKDAY(X$5,2)&lt;6,COUNTIF(휴일!$A$2:$A$2,X$5)=0),1,""))</f>
        <v/>
      </c>
      <c r="Y83" s="32" t="str">
        <f aca="false">IF(AND(ISNUMBER($M83),Y$5&gt;=$M83,Y$5&lt;=IF($N83="",$L$1,$N83),WEEKDAY(Y$5,2)&lt;6,COUNTIF(휴일!$A$2:$A$2,Y$5)=0),2,IF(AND(ISNUMBER($K83),Y$5&gt;=$K83,Y$5&lt;=$L83,WEEKDAY(Y$5,2)&lt;6,COUNTIF(휴일!$A$2:$A$2,Y$5)=0),1,""))</f>
        <v/>
      </c>
      <c r="Z83" s="33" t="str">
        <f aca="false">IF(AND(ISNUMBER($M83),Z$5&gt;=$M83,Z$5&lt;=IF($N83="",$L$1,$N83),WEEKDAY(Z$5,2)&lt;6,COUNTIF(휴일!$A$2:$A$2,Z$5)=0),2,IF(AND(ISNUMBER($K83),Z$5&gt;=$K83,Z$5&lt;=$L83,WEEKDAY(Z$5,2)&lt;6,COUNTIF(휴일!$A$2:$A$2,Z$5)=0),1,""))</f>
        <v/>
      </c>
      <c r="AA83" s="33" t="str">
        <f aca="false">IF(AND(ISNUMBER($M83),AA$5&gt;=$M83,AA$5&lt;=IF($N83="",$L$1,$N83),WEEKDAY(AA$5,2)&lt;6,COUNTIF(휴일!$A$2:$A$2,AA$5)=0),2,IF(AND(ISNUMBER($K83),AA$5&gt;=$K83,AA$5&lt;=$L83,WEEKDAY(AA$5,2)&lt;6,COUNTIF(휴일!$A$2:$A$2,AA$5)=0),1,""))</f>
        <v/>
      </c>
      <c r="AB83" s="33" t="str">
        <f aca="false">IF(AND(ISNUMBER($M83),AB$5&gt;=$M83,AB$5&lt;=IF($N83="",$L$1,$N83),WEEKDAY(AB$5,2)&lt;6,COUNTIF(휴일!$A$2:$A$2,AB$5)=0),2,IF(AND(ISNUMBER($K83),AB$5&gt;=$K83,AB$5&lt;=$L83,WEEKDAY(AB$5,2)&lt;6,COUNTIF(휴일!$A$2:$A$2,AB$5)=0),1,""))</f>
        <v/>
      </c>
      <c r="AC83" s="32" t="str">
        <f aca="false">IF(AND(ISNUMBER($M83),AC$5&gt;=$M83,AC$5&lt;=IF($N83="",$L$1,$N83),WEEKDAY(AC$5,2)&lt;6,COUNTIF(휴일!$A$2:$A$2,AC$5)=0),2,IF(AND(ISNUMBER($K83),AC$5&gt;=$K83,AC$5&lt;=$L83,WEEKDAY(AC$5,2)&lt;6,COUNTIF(휴일!$A$2:$A$2,AC$5)=0),1,""))</f>
        <v/>
      </c>
      <c r="AD83" s="32" t="str">
        <f aca="false">IF(AND(ISNUMBER($M83),AD$5&gt;=$M83,AD$5&lt;=IF($N83="",$L$1,$N83),WEEKDAY(AD$5,2)&lt;6,COUNTIF(휴일!$A$2:$A$2,AD$5)=0),2,IF(AND(ISNUMBER($K83),AD$5&gt;=$K83,AD$5&lt;=$L83,WEEKDAY(AD$5,2)&lt;6,COUNTIF(휴일!$A$2:$A$2,AD$5)=0),1,""))</f>
        <v/>
      </c>
      <c r="AE83" s="32" t="n">
        <f aca="false">IF(AND(ISNUMBER($M83),AE$5&gt;=$M83,AE$5&lt;=IF($N83="",$L$1,$N83),WEEKDAY(AE$5,2)&lt;6,COUNTIF(휴일!$A$2:$A$2,AE$5)=0),2,IF(AND(ISNUMBER($K83),AE$5&gt;=$K83,AE$5&lt;=$L83,WEEKDAY(AE$5,2)&lt;6,COUNTIF(휴일!$A$2:$A$2,AE$5)=0),1,""))</f>
        <v>1</v>
      </c>
      <c r="AF83" s="25" t="s">
        <v>159</v>
      </c>
      <c r="AG83" s="26"/>
      <c r="AH83" s="26"/>
    </row>
    <row r="84" customFormat="false" ht="54" hidden="false" customHeight="true" outlineLevel="0" collapsed="false">
      <c r="A84" s="2"/>
      <c r="B84" s="14"/>
      <c r="C84" s="14"/>
      <c r="D84" s="16"/>
      <c r="E84" s="16"/>
      <c r="F84" s="27" t="s">
        <v>200</v>
      </c>
      <c r="G84" s="27"/>
      <c r="H84" s="27" t="s">
        <v>34</v>
      </c>
      <c r="I84" s="27" t="s">
        <v>33</v>
      </c>
      <c r="J84" s="27" t="s">
        <v>201</v>
      </c>
      <c r="K84" s="28" t="n">
        <v>46309</v>
      </c>
      <c r="L84" s="28" t="n">
        <v>46309</v>
      </c>
      <c r="M84" s="34"/>
      <c r="N84" s="34"/>
      <c r="O84" s="29" t="n">
        <f aca="false">IF(OR(K84="",L84=""),"",IF(L84&lt;K84,"날짜 확인",NETWORKDAYS(K84,L84,휴일!$A$2:$A$2)))</f>
        <v>1</v>
      </c>
      <c r="P84" s="29" t="str">
        <f aca="false">IF(OR(M84="",N84=""),"",IF(N84&lt;M84,"날짜 확인",NETWORKDAYS(M84,N84,휴일!$A$2:$A$2)))</f>
        <v/>
      </c>
      <c r="Q84" s="29" t="n">
        <f aca="false">IF(O84="","",IF($L$1&lt;K84,0,NETWORKDAYS(K84,MIN($L$1,L84),휴일!$A$2:$A$2)))</f>
        <v>0</v>
      </c>
      <c r="R84" s="29" t="str">
        <f aca="false">IF(M84="","",IF($L$1&lt;M84,0,NETWORKDAYS(M84,IF(N84="",$L$1,MIN($L$1,N84)),휴일!$A$2:$A$2)))</f>
        <v/>
      </c>
      <c r="S84" s="30" t="n">
        <f aca="false">IF(O84="","",IF(O84=0,0,Q84/O84))</f>
        <v>0</v>
      </c>
      <c r="T84" s="31" t="n">
        <f aca="false">IF(OR(AND(AG84&lt;&gt;"",OR(NOT(ISNUMBER(AG84)),AG84&lt;=0)),AND(AH84&lt;&gt;"",OR(NOT(ISNUMBER(AH84)),AH84&lt;0)),AND(ISNUMBER(AG84),ISNUMBER(AH84),AH84&gt;AG84)),"수량 확인",IF(AF84="완료",1,IF(AF84="미착수",0,IF(AND(ISNUMBER(AG84),ISNUMBER(AH84)),AH84/AG84,""))))</f>
        <v>0</v>
      </c>
      <c r="U84" s="30" t="n">
        <f aca="false">IF(T84="","",T84)</f>
        <v>0</v>
      </c>
      <c r="V84" s="30" t="n">
        <f aca="false">IF(OR(U84="",S84=""),"",U84-S84)</f>
        <v>0</v>
      </c>
      <c r="W84" s="32" t="str">
        <f aca="false">IF(AND(ISNUMBER($M84),W$5&gt;=$M84,W$5&lt;=IF($N84="",$L$1,$N84),WEEKDAY(W$5,2)&lt;6,COUNTIF(휴일!$A$2:$A$2,W$5)=0),2,IF(AND(ISNUMBER($K84),W$5&gt;=$K84,W$5&lt;=$L84,WEEKDAY(W$5,2)&lt;6,COUNTIF(휴일!$A$2:$A$2,W$5)=0),1,""))</f>
        <v/>
      </c>
      <c r="X84" s="32" t="str">
        <f aca="false">IF(AND(ISNUMBER($M84),X$5&gt;=$M84,X$5&lt;=IF($N84="",$L$1,$N84),WEEKDAY(X$5,2)&lt;6,COUNTIF(휴일!$A$2:$A$2,X$5)=0),2,IF(AND(ISNUMBER($K84),X$5&gt;=$K84,X$5&lt;=$L84,WEEKDAY(X$5,2)&lt;6,COUNTIF(휴일!$A$2:$A$2,X$5)=0),1,""))</f>
        <v/>
      </c>
      <c r="Y84" s="32" t="str">
        <f aca="false">IF(AND(ISNUMBER($M84),Y$5&gt;=$M84,Y$5&lt;=IF($N84="",$L$1,$N84),WEEKDAY(Y$5,2)&lt;6,COUNTIF(휴일!$A$2:$A$2,Y$5)=0),2,IF(AND(ISNUMBER($K84),Y$5&gt;=$K84,Y$5&lt;=$L84,WEEKDAY(Y$5,2)&lt;6,COUNTIF(휴일!$A$2:$A$2,Y$5)=0),1,""))</f>
        <v/>
      </c>
      <c r="Z84" s="33" t="str">
        <f aca="false">IF(AND(ISNUMBER($M84),Z$5&gt;=$M84,Z$5&lt;=IF($N84="",$L$1,$N84),WEEKDAY(Z$5,2)&lt;6,COUNTIF(휴일!$A$2:$A$2,Z$5)=0),2,IF(AND(ISNUMBER($K84),Z$5&gt;=$K84,Z$5&lt;=$L84,WEEKDAY(Z$5,2)&lt;6,COUNTIF(휴일!$A$2:$A$2,Z$5)=0),1,""))</f>
        <v/>
      </c>
      <c r="AA84" s="33" t="str">
        <f aca="false">IF(AND(ISNUMBER($M84),AA$5&gt;=$M84,AA$5&lt;=IF($N84="",$L$1,$N84),WEEKDAY(AA$5,2)&lt;6,COUNTIF(휴일!$A$2:$A$2,AA$5)=0),2,IF(AND(ISNUMBER($K84),AA$5&gt;=$K84,AA$5&lt;=$L84,WEEKDAY(AA$5,2)&lt;6,COUNTIF(휴일!$A$2:$A$2,AA$5)=0),1,""))</f>
        <v/>
      </c>
      <c r="AB84" s="33" t="str">
        <f aca="false">IF(AND(ISNUMBER($M84),AB$5&gt;=$M84,AB$5&lt;=IF($N84="",$L$1,$N84),WEEKDAY(AB$5,2)&lt;6,COUNTIF(휴일!$A$2:$A$2,AB$5)=0),2,IF(AND(ISNUMBER($K84),AB$5&gt;=$K84,AB$5&lt;=$L84,WEEKDAY(AB$5,2)&lt;6,COUNTIF(휴일!$A$2:$A$2,AB$5)=0),1,""))</f>
        <v/>
      </c>
      <c r="AC84" s="32" t="str">
        <f aca="false">IF(AND(ISNUMBER($M84),AC$5&gt;=$M84,AC$5&lt;=IF($N84="",$L$1,$N84),WEEKDAY(AC$5,2)&lt;6,COUNTIF(휴일!$A$2:$A$2,AC$5)=0),2,IF(AND(ISNUMBER($K84),AC$5&gt;=$K84,AC$5&lt;=$L84,WEEKDAY(AC$5,2)&lt;6,COUNTIF(휴일!$A$2:$A$2,AC$5)=0),1,""))</f>
        <v/>
      </c>
      <c r="AD84" s="32" t="str">
        <f aca="false">IF(AND(ISNUMBER($M84),AD$5&gt;=$M84,AD$5&lt;=IF($N84="",$L$1,$N84),WEEKDAY(AD$5,2)&lt;6,COUNTIF(휴일!$A$2:$A$2,AD$5)=0),2,IF(AND(ISNUMBER($K84),AD$5&gt;=$K84,AD$5&lt;=$L84,WEEKDAY(AD$5,2)&lt;6,COUNTIF(휴일!$A$2:$A$2,AD$5)=0),1,""))</f>
        <v/>
      </c>
      <c r="AE84" s="32" t="n">
        <f aca="false">IF(AND(ISNUMBER($M84),AE$5&gt;=$M84,AE$5&lt;=IF($N84="",$L$1,$N84),WEEKDAY(AE$5,2)&lt;6,COUNTIF(휴일!$A$2:$A$2,AE$5)=0),2,IF(AND(ISNUMBER($K84),AE$5&gt;=$K84,AE$5&lt;=$L84,WEEKDAY(AE$5,2)&lt;6,COUNTIF(휴일!$A$2:$A$2,AE$5)=0),1,""))</f>
        <v>1</v>
      </c>
      <c r="AF84" s="25" t="s">
        <v>159</v>
      </c>
      <c r="AG84" s="26"/>
      <c r="AH84" s="26"/>
    </row>
    <row r="85" customFormat="false" ht="54" hidden="false" customHeight="true" outlineLevel="0" collapsed="false">
      <c r="A85" s="2"/>
      <c r="B85" s="14"/>
      <c r="C85" s="14"/>
      <c r="D85" s="16"/>
      <c r="E85" s="16"/>
      <c r="F85" s="27" t="s">
        <v>202</v>
      </c>
      <c r="G85" s="27"/>
      <c r="H85" s="27" t="s">
        <v>33</v>
      </c>
      <c r="I85" s="27" t="s">
        <v>34</v>
      </c>
      <c r="J85" s="27" t="s">
        <v>203</v>
      </c>
      <c r="K85" s="28" t="n">
        <v>46309</v>
      </c>
      <c r="L85" s="28" t="n">
        <v>46309</v>
      </c>
      <c r="M85" s="34"/>
      <c r="N85" s="34"/>
      <c r="O85" s="29" t="n">
        <f aca="false">IF(OR(K85="",L85=""),"",IF(L85&lt;K85,"날짜 확인",NETWORKDAYS(K85,L85,휴일!$A$2:$A$2)))</f>
        <v>1</v>
      </c>
      <c r="P85" s="29" t="str">
        <f aca="false">IF(OR(M85="",N85=""),"",IF(N85&lt;M85,"날짜 확인",NETWORKDAYS(M85,N85,휴일!$A$2:$A$2)))</f>
        <v/>
      </c>
      <c r="Q85" s="29" t="n">
        <f aca="false">IF(O85="","",IF($L$1&lt;K85,0,NETWORKDAYS(K85,MIN($L$1,L85),휴일!$A$2:$A$2)))</f>
        <v>0</v>
      </c>
      <c r="R85" s="29" t="str">
        <f aca="false">IF(M85="","",IF($L$1&lt;M85,0,NETWORKDAYS(M85,IF(N85="",$L$1,MIN($L$1,N85)),휴일!$A$2:$A$2)))</f>
        <v/>
      </c>
      <c r="S85" s="30" t="n">
        <f aca="false">IF(O85="","",IF(O85=0,0,Q85/O85))</f>
        <v>0</v>
      </c>
      <c r="T85" s="31" t="n">
        <f aca="false">IF(OR(AND(AG85&lt;&gt;"",OR(NOT(ISNUMBER(AG85)),AG85&lt;=0)),AND(AH85&lt;&gt;"",OR(NOT(ISNUMBER(AH85)),AH85&lt;0)),AND(ISNUMBER(AG85),ISNUMBER(AH85),AH85&gt;AG85)),"수량 확인",IF(AF85="완료",1,IF(AF85="미착수",0,IF(AND(ISNUMBER(AG85),ISNUMBER(AH85)),AH85/AG85,""))))</f>
        <v>0</v>
      </c>
      <c r="U85" s="30" t="n">
        <f aca="false">IF(T85="","",T85)</f>
        <v>0</v>
      </c>
      <c r="V85" s="30" t="n">
        <f aca="false">IF(OR(U85="",S85=""),"",U85-S85)</f>
        <v>0</v>
      </c>
      <c r="W85" s="32" t="str">
        <f aca="false">IF(AND(ISNUMBER($M85),W$5&gt;=$M85,W$5&lt;=IF($N85="",$L$1,$N85),WEEKDAY(W$5,2)&lt;6,COUNTIF(휴일!$A$2:$A$2,W$5)=0),2,IF(AND(ISNUMBER($K85),W$5&gt;=$K85,W$5&lt;=$L85,WEEKDAY(W$5,2)&lt;6,COUNTIF(휴일!$A$2:$A$2,W$5)=0),1,""))</f>
        <v/>
      </c>
      <c r="X85" s="32" t="str">
        <f aca="false">IF(AND(ISNUMBER($M85),X$5&gt;=$M85,X$5&lt;=IF($N85="",$L$1,$N85),WEEKDAY(X$5,2)&lt;6,COUNTIF(휴일!$A$2:$A$2,X$5)=0),2,IF(AND(ISNUMBER($K85),X$5&gt;=$K85,X$5&lt;=$L85,WEEKDAY(X$5,2)&lt;6,COUNTIF(휴일!$A$2:$A$2,X$5)=0),1,""))</f>
        <v/>
      </c>
      <c r="Y85" s="32" t="str">
        <f aca="false">IF(AND(ISNUMBER($M85),Y$5&gt;=$M85,Y$5&lt;=IF($N85="",$L$1,$N85),WEEKDAY(Y$5,2)&lt;6,COUNTIF(휴일!$A$2:$A$2,Y$5)=0),2,IF(AND(ISNUMBER($K85),Y$5&gt;=$K85,Y$5&lt;=$L85,WEEKDAY(Y$5,2)&lt;6,COUNTIF(휴일!$A$2:$A$2,Y$5)=0),1,""))</f>
        <v/>
      </c>
      <c r="Z85" s="33" t="str">
        <f aca="false">IF(AND(ISNUMBER($M85),Z$5&gt;=$M85,Z$5&lt;=IF($N85="",$L$1,$N85),WEEKDAY(Z$5,2)&lt;6,COUNTIF(휴일!$A$2:$A$2,Z$5)=0),2,IF(AND(ISNUMBER($K85),Z$5&gt;=$K85,Z$5&lt;=$L85,WEEKDAY(Z$5,2)&lt;6,COUNTIF(휴일!$A$2:$A$2,Z$5)=0),1,""))</f>
        <v/>
      </c>
      <c r="AA85" s="33" t="str">
        <f aca="false">IF(AND(ISNUMBER($M85),AA$5&gt;=$M85,AA$5&lt;=IF($N85="",$L$1,$N85),WEEKDAY(AA$5,2)&lt;6,COUNTIF(휴일!$A$2:$A$2,AA$5)=0),2,IF(AND(ISNUMBER($K85),AA$5&gt;=$K85,AA$5&lt;=$L85,WEEKDAY(AA$5,2)&lt;6,COUNTIF(휴일!$A$2:$A$2,AA$5)=0),1,""))</f>
        <v/>
      </c>
      <c r="AB85" s="33" t="str">
        <f aca="false">IF(AND(ISNUMBER($M85),AB$5&gt;=$M85,AB$5&lt;=IF($N85="",$L$1,$N85),WEEKDAY(AB$5,2)&lt;6,COUNTIF(휴일!$A$2:$A$2,AB$5)=0),2,IF(AND(ISNUMBER($K85),AB$5&gt;=$K85,AB$5&lt;=$L85,WEEKDAY(AB$5,2)&lt;6,COUNTIF(휴일!$A$2:$A$2,AB$5)=0),1,""))</f>
        <v/>
      </c>
      <c r="AC85" s="32" t="str">
        <f aca="false">IF(AND(ISNUMBER($M85),AC$5&gt;=$M85,AC$5&lt;=IF($N85="",$L$1,$N85),WEEKDAY(AC$5,2)&lt;6,COUNTIF(휴일!$A$2:$A$2,AC$5)=0),2,IF(AND(ISNUMBER($K85),AC$5&gt;=$K85,AC$5&lt;=$L85,WEEKDAY(AC$5,2)&lt;6,COUNTIF(휴일!$A$2:$A$2,AC$5)=0),1,""))</f>
        <v/>
      </c>
      <c r="AD85" s="32" t="str">
        <f aca="false">IF(AND(ISNUMBER($M85),AD$5&gt;=$M85,AD$5&lt;=IF($N85="",$L$1,$N85),WEEKDAY(AD$5,2)&lt;6,COUNTIF(휴일!$A$2:$A$2,AD$5)=0),2,IF(AND(ISNUMBER($K85),AD$5&gt;=$K85,AD$5&lt;=$L85,WEEKDAY(AD$5,2)&lt;6,COUNTIF(휴일!$A$2:$A$2,AD$5)=0),1,""))</f>
        <v/>
      </c>
      <c r="AE85" s="32" t="n">
        <f aca="false">IF(AND(ISNUMBER($M85),AE$5&gt;=$M85,AE$5&lt;=IF($N85="",$L$1,$N85),WEEKDAY(AE$5,2)&lt;6,COUNTIF(휴일!$A$2:$A$2,AE$5)=0),2,IF(AND(ISNUMBER($K85),AE$5&gt;=$K85,AE$5&lt;=$L85,WEEKDAY(AE$5,2)&lt;6,COUNTIF(휴일!$A$2:$A$2,AE$5)=0),1,""))</f>
        <v>1</v>
      </c>
      <c r="AF85" s="25" t="s">
        <v>159</v>
      </c>
      <c r="AG85" s="26"/>
      <c r="AH85" s="26"/>
    </row>
    <row r="86" customFormat="false" ht="54" hidden="false" customHeight="true" outlineLevel="0" collapsed="false">
      <c r="A86" s="2"/>
      <c r="B86" s="14"/>
      <c r="C86" s="14"/>
      <c r="D86" s="16"/>
      <c r="E86" s="16"/>
      <c r="F86" s="27" t="s">
        <v>204</v>
      </c>
      <c r="G86" s="27"/>
      <c r="H86" s="27" t="s">
        <v>34</v>
      </c>
      <c r="I86" s="27" t="s">
        <v>33</v>
      </c>
      <c r="J86" s="27" t="s">
        <v>205</v>
      </c>
      <c r="K86" s="28" t="n">
        <v>46309</v>
      </c>
      <c r="L86" s="28" t="n">
        <v>46309</v>
      </c>
      <c r="M86" s="34"/>
      <c r="N86" s="34"/>
      <c r="O86" s="29" t="n">
        <f aca="false">IF(OR(K86="",L86=""),"",IF(L86&lt;K86,"날짜 확인",NETWORKDAYS(K86,L86,휴일!$A$2:$A$2)))</f>
        <v>1</v>
      </c>
      <c r="P86" s="29" t="str">
        <f aca="false">IF(OR(M86="",N86=""),"",IF(N86&lt;M86,"날짜 확인",NETWORKDAYS(M86,N86,휴일!$A$2:$A$2)))</f>
        <v/>
      </c>
      <c r="Q86" s="29" t="n">
        <f aca="false">IF(O86="","",IF($L$1&lt;K86,0,NETWORKDAYS(K86,MIN($L$1,L86),휴일!$A$2:$A$2)))</f>
        <v>0</v>
      </c>
      <c r="R86" s="29" t="str">
        <f aca="false">IF(M86="","",IF($L$1&lt;M86,0,NETWORKDAYS(M86,IF(N86="",$L$1,MIN($L$1,N86)),휴일!$A$2:$A$2)))</f>
        <v/>
      </c>
      <c r="S86" s="30" t="n">
        <f aca="false">IF(O86="","",IF(O86=0,0,Q86/O86))</f>
        <v>0</v>
      </c>
      <c r="T86" s="31" t="n">
        <f aca="false">IF(OR(AND(AG86&lt;&gt;"",OR(NOT(ISNUMBER(AG86)),AG86&lt;=0)),AND(AH86&lt;&gt;"",OR(NOT(ISNUMBER(AH86)),AH86&lt;0)),AND(ISNUMBER(AG86),ISNUMBER(AH86),AH86&gt;AG86)),"수량 확인",IF(AF86="완료",1,IF(AF86="미착수",0,IF(AND(ISNUMBER(AG86),ISNUMBER(AH86)),AH86/AG86,""))))</f>
        <v>0</v>
      </c>
      <c r="U86" s="30" t="n">
        <f aca="false">IF(T86="","",T86)</f>
        <v>0</v>
      </c>
      <c r="V86" s="30" t="n">
        <f aca="false">IF(OR(U86="",S86=""),"",U86-S86)</f>
        <v>0</v>
      </c>
      <c r="W86" s="32" t="str">
        <f aca="false">IF(AND(ISNUMBER($M86),W$5&gt;=$M86,W$5&lt;=IF($N86="",$L$1,$N86),WEEKDAY(W$5,2)&lt;6,COUNTIF(휴일!$A$2:$A$2,W$5)=0),2,IF(AND(ISNUMBER($K86),W$5&gt;=$K86,W$5&lt;=$L86,WEEKDAY(W$5,2)&lt;6,COUNTIF(휴일!$A$2:$A$2,W$5)=0),1,""))</f>
        <v/>
      </c>
      <c r="X86" s="32" t="str">
        <f aca="false">IF(AND(ISNUMBER($M86),X$5&gt;=$M86,X$5&lt;=IF($N86="",$L$1,$N86),WEEKDAY(X$5,2)&lt;6,COUNTIF(휴일!$A$2:$A$2,X$5)=0),2,IF(AND(ISNUMBER($K86),X$5&gt;=$K86,X$5&lt;=$L86,WEEKDAY(X$5,2)&lt;6,COUNTIF(휴일!$A$2:$A$2,X$5)=0),1,""))</f>
        <v/>
      </c>
      <c r="Y86" s="32" t="str">
        <f aca="false">IF(AND(ISNUMBER($M86),Y$5&gt;=$M86,Y$5&lt;=IF($N86="",$L$1,$N86),WEEKDAY(Y$5,2)&lt;6,COUNTIF(휴일!$A$2:$A$2,Y$5)=0),2,IF(AND(ISNUMBER($K86),Y$5&gt;=$K86,Y$5&lt;=$L86,WEEKDAY(Y$5,2)&lt;6,COUNTIF(휴일!$A$2:$A$2,Y$5)=0),1,""))</f>
        <v/>
      </c>
      <c r="Z86" s="33" t="str">
        <f aca="false">IF(AND(ISNUMBER($M86),Z$5&gt;=$M86,Z$5&lt;=IF($N86="",$L$1,$N86),WEEKDAY(Z$5,2)&lt;6,COUNTIF(휴일!$A$2:$A$2,Z$5)=0),2,IF(AND(ISNUMBER($K86),Z$5&gt;=$K86,Z$5&lt;=$L86,WEEKDAY(Z$5,2)&lt;6,COUNTIF(휴일!$A$2:$A$2,Z$5)=0),1,""))</f>
        <v/>
      </c>
      <c r="AA86" s="33" t="str">
        <f aca="false">IF(AND(ISNUMBER($M86),AA$5&gt;=$M86,AA$5&lt;=IF($N86="",$L$1,$N86),WEEKDAY(AA$5,2)&lt;6,COUNTIF(휴일!$A$2:$A$2,AA$5)=0),2,IF(AND(ISNUMBER($K86),AA$5&gt;=$K86,AA$5&lt;=$L86,WEEKDAY(AA$5,2)&lt;6,COUNTIF(휴일!$A$2:$A$2,AA$5)=0),1,""))</f>
        <v/>
      </c>
      <c r="AB86" s="33" t="str">
        <f aca="false">IF(AND(ISNUMBER($M86),AB$5&gt;=$M86,AB$5&lt;=IF($N86="",$L$1,$N86),WEEKDAY(AB$5,2)&lt;6,COUNTIF(휴일!$A$2:$A$2,AB$5)=0),2,IF(AND(ISNUMBER($K86),AB$5&gt;=$K86,AB$5&lt;=$L86,WEEKDAY(AB$5,2)&lt;6,COUNTIF(휴일!$A$2:$A$2,AB$5)=0),1,""))</f>
        <v/>
      </c>
      <c r="AC86" s="32" t="str">
        <f aca="false">IF(AND(ISNUMBER($M86),AC$5&gt;=$M86,AC$5&lt;=IF($N86="",$L$1,$N86),WEEKDAY(AC$5,2)&lt;6,COUNTIF(휴일!$A$2:$A$2,AC$5)=0),2,IF(AND(ISNUMBER($K86),AC$5&gt;=$K86,AC$5&lt;=$L86,WEEKDAY(AC$5,2)&lt;6,COUNTIF(휴일!$A$2:$A$2,AC$5)=0),1,""))</f>
        <v/>
      </c>
      <c r="AD86" s="32" t="str">
        <f aca="false">IF(AND(ISNUMBER($M86),AD$5&gt;=$M86,AD$5&lt;=IF($N86="",$L$1,$N86),WEEKDAY(AD$5,2)&lt;6,COUNTIF(휴일!$A$2:$A$2,AD$5)=0),2,IF(AND(ISNUMBER($K86),AD$5&gt;=$K86,AD$5&lt;=$L86,WEEKDAY(AD$5,2)&lt;6,COUNTIF(휴일!$A$2:$A$2,AD$5)=0),1,""))</f>
        <v/>
      </c>
      <c r="AE86" s="32" t="n">
        <f aca="false">IF(AND(ISNUMBER($M86),AE$5&gt;=$M86,AE$5&lt;=IF($N86="",$L$1,$N86),WEEKDAY(AE$5,2)&lt;6,COUNTIF(휴일!$A$2:$A$2,AE$5)=0),2,IF(AND(ISNUMBER($K86),AE$5&gt;=$K86,AE$5&lt;=$L86,WEEKDAY(AE$5,2)&lt;6,COUNTIF(휴일!$A$2:$A$2,AE$5)=0),1,""))</f>
        <v>1</v>
      </c>
      <c r="AF86" s="25" t="s">
        <v>159</v>
      </c>
      <c r="AG86" s="26"/>
      <c r="AH86" s="26"/>
    </row>
    <row r="87" customFormat="false" ht="54" hidden="false" customHeight="true" outlineLevel="0" collapsed="false">
      <c r="A87" s="2"/>
      <c r="B87" s="14"/>
      <c r="C87" s="14"/>
      <c r="D87" s="16"/>
      <c r="E87" s="16"/>
      <c r="F87" s="27" t="s">
        <v>206</v>
      </c>
      <c r="G87" s="27"/>
      <c r="H87" s="27" t="s">
        <v>33</v>
      </c>
      <c r="I87" s="27" t="s">
        <v>34</v>
      </c>
      <c r="J87" s="27" t="s">
        <v>207</v>
      </c>
      <c r="K87" s="28" t="n">
        <v>46309</v>
      </c>
      <c r="L87" s="28" t="n">
        <v>46309</v>
      </c>
      <c r="M87" s="34"/>
      <c r="N87" s="34"/>
      <c r="O87" s="29" t="n">
        <f aca="false">IF(OR(K87="",L87=""),"",IF(L87&lt;K87,"날짜 확인",NETWORKDAYS(K87,L87,휴일!$A$2:$A$2)))</f>
        <v>1</v>
      </c>
      <c r="P87" s="29" t="str">
        <f aca="false">IF(OR(M87="",N87=""),"",IF(N87&lt;M87,"날짜 확인",NETWORKDAYS(M87,N87,휴일!$A$2:$A$2)))</f>
        <v/>
      </c>
      <c r="Q87" s="29" t="n">
        <f aca="false">IF(O87="","",IF($L$1&lt;K87,0,NETWORKDAYS(K87,MIN($L$1,L87),휴일!$A$2:$A$2)))</f>
        <v>0</v>
      </c>
      <c r="R87" s="29" t="str">
        <f aca="false">IF(M87="","",IF($L$1&lt;M87,0,NETWORKDAYS(M87,IF(N87="",$L$1,MIN($L$1,N87)),휴일!$A$2:$A$2)))</f>
        <v/>
      </c>
      <c r="S87" s="30" t="n">
        <f aca="false">IF(O87="","",IF(O87=0,0,Q87/O87))</f>
        <v>0</v>
      </c>
      <c r="T87" s="31" t="n">
        <f aca="false">IF(OR(AND(AG87&lt;&gt;"",OR(NOT(ISNUMBER(AG87)),AG87&lt;=0)),AND(AH87&lt;&gt;"",OR(NOT(ISNUMBER(AH87)),AH87&lt;0)),AND(ISNUMBER(AG87),ISNUMBER(AH87),AH87&gt;AG87)),"수량 확인",IF(AF87="완료",1,IF(AF87="미착수",0,IF(AND(ISNUMBER(AG87),ISNUMBER(AH87)),AH87/AG87,""))))</f>
        <v>0</v>
      </c>
      <c r="U87" s="30" t="n">
        <f aca="false">IF(T87="","",T87)</f>
        <v>0</v>
      </c>
      <c r="V87" s="30" t="n">
        <f aca="false">IF(OR(U87="",S87=""),"",U87-S87)</f>
        <v>0</v>
      </c>
      <c r="W87" s="32" t="str">
        <f aca="false">IF(AND(ISNUMBER($M87),W$5&gt;=$M87,W$5&lt;=IF($N87="",$L$1,$N87),WEEKDAY(W$5,2)&lt;6,COUNTIF(휴일!$A$2:$A$2,W$5)=0),2,IF(AND(ISNUMBER($K87),W$5&gt;=$K87,W$5&lt;=$L87,WEEKDAY(W$5,2)&lt;6,COUNTIF(휴일!$A$2:$A$2,W$5)=0),1,""))</f>
        <v/>
      </c>
      <c r="X87" s="32" t="str">
        <f aca="false">IF(AND(ISNUMBER($M87),X$5&gt;=$M87,X$5&lt;=IF($N87="",$L$1,$N87),WEEKDAY(X$5,2)&lt;6,COUNTIF(휴일!$A$2:$A$2,X$5)=0),2,IF(AND(ISNUMBER($K87),X$5&gt;=$K87,X$5&lt;=$L87,WEEKDAY(X$5,2)&lt;6,COUNTIF(휴일!$A$2:$A$2,X$5)=0),1,""))</f>
        <v/>
      </c>
      <c r="Y87" s="32" t="str">
        <f aca="false">IF(AND(ISNUMBER($M87),Y$5&gt;=$M87,Y$5&lt;=IF($N87="",$L$1,$N87),WEEKDAY(Y$5,2)&lt;6,COUNTIF(휴일!$A$2:$A$2,Y$5)=0),2,IF(AND(ISNUMBER($K87),Y$5&gt;=$K87,Y$5&lt;=$L87,WEEKDAY(Y$5,2)&lt;6,COUNTIF(휴일!$A$2:$A$2,Y$5)=0),1,""))</f>
        <v/>
      </c>
      <c r="Z87" s="33" t="str">
        <f aca="false">IF(AND(ISNUMBER($M87),Z$5&gt;=$M87,Z$5&lt;=IF($N87="",$L$1,$N87),WEEKDAY(Z$5,2)&lt;6,COUNTIF(휴일!$A$2:$A$2,Z$5)=0),2,IF(AND(ISNUMBER($K87),Z$5&gt;=$K87,Z$5&lt;=$L87,WEEKDAY(Z$5,2)&lt;6,COUNTIF(휴일!$A$2:$A$2,Z$5)=0),1,""))</f>
        <v/>
      </c>
      <c r="AA87" s="33" t="str">
        <f aca="false">IF(AND(ISNUMBER($M87),AA$5&gt;=$M87,AA$5&lt;=IF($N87="",$L$1,$N87),WEEKDAY(AA$5,2)&lt;6,COUNTIF(휴일!$A$2:$A$2,AA$5)=0),2,IF(AND(ISNUMBER($K87),AA$5&gt;=$K87,AA$5&lt;=$L87,WEEKDAY(AA$5,2)&lt;6,COUNTIF(휴일!$A$2:$A$2,AA$5)=0),1,""))</f>
        <v/>
      </c>
      <c r="AB87" s="33" t="str">
        <f aca="false">IF(AND(ISNUMBER($M87),AB$5&gt;=$M87,AB$5&lt;=IF($N87="",$L$1,$N87),WEEKDAY(AB$5,2)&lt;6,COUNTIF(휴일!$A$2:$A$2,AB$5)=0),2,IF(AND(ISNUMBER($K87),AB$5&gt;=$K87,AB$5&lt;=$L87,WEEKDAY(AB$5,2)&lt;6,COUNTIF(휴일!$A$2:$A$2,AB$5)=0),1,""))</f>
        <v/>
      </c>
      <c r="AC87" s="32" t="str">
        <f aca="false">IF(AND(ISNUMBER($M87),AC$5&gt;=$M87,AC$5&lt;=IF($N87="",$L$1,$N87),WEEKDAY(AC$5,2)&lt;6,COUNTIF(휴일!$A$2:$A$2,AC$5)=0),2,IF(AND(ISNUMBER($K87),AC$5&gt;=$K87,AC$5&lt;=$L87,WEEKDAY(AC$5,2)&lt;6,COUNTIF(휴일!$A$2:$A$2,AC$5)=0),1,""))</f>
        <v/>
      </c>
      <c r="AD87" s="32" t="str">
        <f aca="false">IF(AND(ISNUMBER($M87),AD$5&gt;=$M87,AD$5&lt;=IF($N87="",$L$1,$N87),WEEKDAY(AD$5,2)&lt;6,COUNTIF(휴일!$A$2:$A$2,AD$5)=0),2,IF(AND(ISNUMBER($K87),AD$5&gt;=$K87,AD$5&lt;=$L87,WEEKDAY(AD$5,2)&lt;6,COUNTIF(휴일!$A$2:$A$2,AD$5)=0),1,""))</f>
        <v/>
      </c>
      <c r="AE87" s="32" t="n">
        <f aca="false">IF(AND(ISNUMBER($M87),AE$5&gt;=$M87,AE$5&lt;=IF($N87="",$L$1,$N87),WEEKDAY(AE$5,2)&lt;6,COUNTIF(휴일!$A$2:$A$2,AE$5)=0),2,IF(AND(ISNUMBER($K87),AE$5&gt;=$K87,AE$5&lt;=$L87,WEEKDAY(AE$5,2)&lt;6,COUNTIF(휴일!$A$2:$A$2,AE$5)=0),1,""))</f>
        <v>1</v>
      </c>
      <c r="AF87" s="25" t="s">
        <v>159</v>
      </c>
      <c r="AG87" s="26"/>
      <c r="AH87" s="26"/>
    </row>
    <row r="88" customFormat="false" ht="54" hidden="false" customHeight="true" outlineLevel="0" collapsed="false">
      <c r="A88" s="2"/>
      <c r="B88" s="14"/>
      <c r="C88" s="14"/>
      <c r="D88" s="16"/>
      <c r="E88" s="16"/>
      <c r="F88" s="27" t="s">
        <v>208</v>
      </c>
      <c r="G88" s="27"/>
      <c r="H88" s="27" t="s">
        <v>34</v>
      </c>
      <c r="I88" s="27" t="s">
        <v>33</v>
      </c>
      <c r="J88" s="27" t="s">
        <v>209</v>
      </c>
      <c r="K88" s="28" t="n">
        <v>46309</v>
      </c>
      <c r="L88" s="28" t="n">
        <v>46309</v>
      </c>
      <c r="M88" s="34"/>
      <c r="N88" s="34"/>
      <c r="O88" s="29" t="n">
        <f aca="false">IF(OR(K88="",L88=""),"",IF(L88&lt;K88,"날짜 확인",NETWORKDAYS(K88,L88,휴일!$A$2:$A$2)))</f>
        <v>1</v>
      </c>
      <c r="P88" s="29" t="str">
        <f aca="false">IF(OR(M88="",N88=""),"",IF(N88&lt;M88,"날짜 확인",NETWORKDAYS(M88,N88,휴일!$A$2:$A$2)))</f>
        <v/>
      </c>
      <c r="Q88" s="29" t="n">
        <f aca="false">IF(O88="","",IF($L$1&lt;K88,0,NETWORKDAYS(K88,MIN($L$1,L88),휴일!$A$2:$A$2)))</f>
        <v>0</v>
      </c>
      <c r="R88" s="29" t="str">
        <f aca="false">IF(M88="","",IF($L$1&lt;M88,0,NETWORKDAYS(M88,IF(N88="",$L$1,MIN($L$1,N88)),휴일!$A$2:$A$2)))</f>
        <v/>
      </c>
      <c r="S88" s="30" t="n">
        <f aca="false">IF(O88="","",IF(O88=0,0,Q88/O88))</f>
        <v>0</v>
      </c>
      <c r="T88" s="31" t="n">
        <f aca="false">IF(OR(AND(AG88&lt;&gt;"",OR(NOT(ISNUMBER(AG88)),AG88&lt;=0)),AND(AH88&lt;&gt;"",OR(NOT(ISNUMBER(AH88)),AH88&lt;0)),AND(ISNUMBER(AG88),ISNUMBER(AH88),AH88&gt;AG88)),"수량 확인",IF(AF88="완료",1,IF(AF88="미착수",0,IF(AND(ISNUMBER(AG88),ISNUMBER(AH88)),AH88/AG88,""))))</f>
        <v>0</v>
      </c>
      <c r="U88" s="30" t="n">
        <f aca="false">IF(T88="","",T88)</f>
        <v>0</v>
      </c>
      <c r="V88" s="30" t="n">
        <f aca="false">IF(OR(U88="",S88=""),"",U88-S88)</f>
        <v>0</v>
      </c>
      <c r="W88" s="32" t="str">
        <f aca="false">IF(AND(ISNUMBER($M88),W$5&gt;=$M88,W$5&lt;=IF($N88="",$L$1,$N88),WEEKDAY(W$5,2)&lt;6,COUNTIF(휴일!$A$2:$A$2,W$5)=0),2,IF(AND(ISNUMBER($K88),W$5&gt;=$K88,W$5&lt;=$L88,WEEKDAY(W$5,2)&lt;6,COUNTIF(휴일!$A$2:$A$2,W$5)=0),1,""))</f>
        <v/>
      </c>
      <c r="X88" s="32" t="str">
        <f aca="false">IF(AND(ISNUMBER($M88),X$5&gt;=$M88,X$5&lt;=IF($N88="",$L$1,$N88),WEEKDAY(X$5,2)&lt;6,COUNTIF(휴일!$A$2:$A$2,X$5)=0),2,IF(AND(ISNUMBER($K88),X$5&gt;=$K88,X$5&lt;=$L88,WEEKDAY(X$5,2)&lt;6,COUNTIF(휴일!$A$2:$A$2,X$5)=0),1,""))</f>
        <v/>
      </c>
      <c r="Y88" s="32" t="str">
        <f aca="false">IF(AND(ISNUMBER($M88),Y$5&gt;=$M88,Y$5&lt;=IF($N88="",$L$1,$N88),WEEKDAY(Y$5,2)&lt;6,COUNTIF(휴일!$A$2:$A$2,Y$5)=0),2,IF(AND(ISNUMBER($K88),Y$5&gt;=$K88,Y$5&lt;=$L88,WEEKDAY(Y$5,2)&lt;6,COUNTIF(휴일!$A$2:$A$2,Y$5)=0),1,""))</f>
        <v/>
      </c>
      <c r="Z88" s="33" t="str">
        <f aca="false">IF(AND(ISNUMBER($M88),Z$5&gt;=$M88,Z$5&lt;=IF($N88="",$L$1,$N88),WEEKDAY(Z$5,2)&lt;6,COUNTIF(휴일!$A$2:$A$2,Z$5)=0),2,IF(AND(ISNUMBER($K88),Z$5&gt;=$K88,Z$5&lt;=$L88,WEEKDAY(Z$5,2)&lt;6,COUNTIF(휴일!$A$2:$A$2,Z$5)=0),1,""))</f>
        <v/>
      </c>
      <c r="AA88" s="33" t="str">
        <f aca="false">IF(AND(ISNUMBER($M88),AA$5&gt;=$M88,AA$5&lt;=IF($N88="",$L$1,$N88),WEEKDAY(AA$5,2)&lt;6,COUNTIF(휴일!$A$2:$A$2,AA$5)=0),2,IF(AND(ISNUMBER($K88),AA$5&gt;=$K88,AA$5&lt;=$L88,WEEKDAY(AA$5,2)&lt;6,COUNTIF(휴일!$A$2:$A$2,AA$5)=0),1,""))</f>
        <v/>
      </c>
      <c r="AB88" s="33" t="str">
        <f aca="false">IF(AND(ISNUMBER($M88),AB$5&gt;=$M88,AB$5&lt;=IF($N88="",$L$1,$N88),WEEKDAY(AB$5,2)&lt;6,COUNTIF(휴일!$A$2:$A$2,AB$5)=0),2,IF(AND(ISNUMBER($K88),AB$5&gt;=$K88,AB$5&lt;=$L88,WEEKDAY(AB$5,2)&lt;6,COUNTIF(휴일!$A$2:$A$2,AB$5)=0),1,""))</f>
        <v/>
      </c>
      <c r="AC88" s="32" t="str">
        <f aca="false">IF(AND(ISNUMBER($M88),AC$5&gt;=$M88,AC$5&lt;=IF($N88="",$L$1,$N88),WEEKDAY(AC$5,2)&lt;6,COUNTIF(휴일!$A$2:$A$2,AC$5)=0),2,IF(AND(ISNUMBER($K88),AC$5&gt;=$K88,AC$5&lt;=$L88,WEEKDAY(AC$5,2)&lt;6,COUNTIF(휴일!$A$2:$A$2,AC$5)=0),1,""))</f>
        <v/>
      </c>
      <c r="AD88" s="32" t="str">
        <f aca="false">IF(AND(ISNUMBER($M88),AD$5&gt;=$M88,AD$5&lt;=IF($N88="",$L$1,$N88),WEEKDAY(AD$5,2)&lt;6,COUNTIF(휴일!$A$2:$A$2,AD$5)=0),2,IF(AND(ISNUMBER($K88),AD$5&gt;=$K88,AD$5&lt;=$L88,WEEKDAY(AD$5,2)&lt;6,COUNTIF(휴일!$A$2:$A$2,AD$5)=0),1,""))</f>
        <v/>
      </c>
      <c r="AE88" s="32" t="n">
        <f aca="false">IF(AND(ISNUMBER($M88),AE$5&gt;=$M88,AE$5&lt;=IF($N88="",$L$1,$N88),WEEKDAY(AE$5,2)&lt;6,COUNTIF(휴일!$A$2:$A$2,AE$5)=0),2,IF(AND(ISNUMBER($K88),AE$5&gt;=$K88,AE$5&lt;=$L88,WEEKDAY(AE$5,2)&lt;6,COUNTIF(휴일!$A$2:$A$2,AE$5)=0),1,""))</f>
        <v>1</v>
      </c>
      <c r="AF88" s="25" t="s">
        <v>159</v>
      </c>
      <c r="AG88" s="26"/>
      <c r="AH88" s="26"/>
    </row>
    <row r="89" customFormat="false" ht="54" hidden="false" customHeight="true" outlineLevel="0" collapsed="false">
      <c r="A89" s="2"/>
      <c r="B89" s="14" t="n">
        <v>7</v>
      </c>
      <c r="C89" s="15" t="n">
        <v>0</v>
      </c>
      <c r="D89" s="16" t="s">
        <v>210</v>
      </c>
      <c r="E89" s="16"/>
      <c r="F89" s="17" t="s">
        <v>211</v>
      </c>
      <c r="G89" s="17"/>
      <c r="H89" s="17" t="s">
        <v>33</v>
      </c>
      <c r="I89" s="17" t="s">
        <v>34</v>
      </c>
      <c r="J89" s="17" t="s">
        <v>212</v>
      </c>
      <c r="K89" s="18"/>
      <c r="L89" s="18"/>
      <c r="M89" s="19"/>
      <c r="N89" s="19"/>
      <c r="O89" s="20" t="str">
        <f aca="false">IF(OR(K89="",L89=""),"",IF(L89&lt;K89,"날짜 확인",NETWORKDAYS(K89,L89,휴일!$A$2:$A$2)))</f>
        <v/>
      </c>
      <c r="P89" s="20" t="str">
        <f aca="false">IF(OR(M89="",N89=""),"",IF(N89&lt;M89,"날짜 확인",NETWORKDAYS(M89,N89,휴일!$A$2:$A$2)))</f>
        <v/>
      </c>
      <c r="Q89" s="20" t="str">
        <f aca="false">IF(O89="","",IF($L$1&lt;K89,0,NETWORKDAYS(K89,MIN($L$1,L89),휴일!$A$2:$A$2)))</f>
        <v/>
      </c>
      <c r="R89" s="20" t="str">
        <f aca="false">IF(M89="","",IF($L$1&lt;M89,0,NETWORKDAYS(M89,IF(N89="",$L$1,MIN($L$1,N89)),휴일!$A$2:$A$2)))</f>
        <v/>
      </c>
      <c r="S89" s="21" t="str">
        <f aca="false">IF(O89="","",IF(O89=0,0,Q89/O89))</f>
        <v/>
      </c>
      <c r="T89" s="22" t="str">
        <f aca="false">IF(OR(AND(AG89&lt;&gt;"",OR(NOT(ISNUMBER(AG89)),AG89&lt;=0)),AND(AH89&lt;&gt;"",OR(NOT(ISNUMBER(AH89)),AH89&lt;0)),AND(ISNUMBER(AG89),ISNUMBER(AH89),AH89&gt;AG89)),"수량 확인",IF(AF89="완료",1,IF(AF89="미착수",0,IF(AND(ISNUMBER(AG89),ISNUMBER(AH89)),AH89/AG89,""))))</f>
        <v/>
      </c>
      <c r="U89" s="21" t="str">
        <f aca="false">IF(T89="","",T89)</f>
        <v/>
      </c>
      <c r="V89" s="21" t="str">
        <f aca="false">IF(OR(U89="",S89=""),"",U89-S89)</f>
        <v/>
      </c>
      <c r="W89" s="23" t="str">
        <f aca="false">IF(AND(ISNUMBER($M89),W$5&gt;=$M89,W$5&lt;=IF($N89="",$L$1,$N89),WEEKDAY(W$5,2)&lt;6,COUNTIF(휴일!$A$2:$A$2,W$5)=0),2,IF(AND(ISNUMBER($K89),W$5&gt;=$K89,W$5&lt;=$L89,WEEKDAY(W$5,2)&lt;6,COUNTIF(휴일!$A$2:$A$2,W$5)=0),1,""))</f>
        <v/>
      </c>
      <c r="X89" s="23" t="str">
        <f aca="false">IF(AND(ISNUMBER($M89),X$5&gt;=$M89,X$5&lt;=IF($N89="",$L$1,$N89),WEEKDAY(X$5,2)&lt;6,COUNTIF(휴일!$A$2:$A$2,X$5)=0),2,IF(AND(ISNUMBER($K89),X$5&gt;=$K89,X$5&lt;=$L89,WEEKDAY(X$5,2)&lt;6,COUNTIF(휴일!$A$2:$A$2,X$5)=0),1,""))</f>
        <v/>
      </c>
      <c r="Y89" s="23" t="str">
        <f aca="false">IF(AND(ISNUMBER($M89),Y$5&gt;=$M89,Y$5&lt;=IF($N89="",$L$1,$N89),WEEKDAY(Y$5,2)&lt;6,COUNTIF(휴일!$A$2:$A$2,Y$5)=0),2,IF(AND(ISNUMBER($K89),Y$5&gt;=$K89,Y$5&lt;=$L89,WEEKDAY(Y$5,2)&lt;6,COUNTIF(휴일!$A$2:$A$2,Y$5)=0),1,""))</f>
        <v/>
      </c>
      <c r="Z89" s="24" t="str">
        <f aca="false">IF(AND(ISNUMBER($M89),Z$5&gt;=$M89,Z$5&lt;=IF($N89="",$L$1,$N89),WEEKDAY(Z$5,2)&lt;6,COUNTIF(휴일!$A$2:$A$2,Z$5)=0),2,IF(AND(ISNUMBER($K89),Z$5&gt;=$K89,Z$5&lt;=$L89,WEEKDAY(Z$5,2)&lt;6,COUNTIF(휴일!$A$2:$A$2,Z$5)=0),1,""))</f>
        <v/>
      </c>
      <c r="AA89" s="24" t="str">
        <f aca="false">IF(AND(ISNUMBER($M89),AA$5&gt;=$M89,AA$5&lt;=IF($N89="",$L$1,$N89),WEEKDAY(AA$5,2)&lt;6,COUNTIF(휴일!$A$2:$A$2,AA$5)=0),2,IF(AND(ISNUMBER($K89),AA$5&gt;=$K89,AA$5&lt;=$L89,WEEKDAY(AA$5,2)&lt;6,COUNTIF(휴일!$A$2:$A$2,AA$5)=0),1,""))</f>
        <v/>
      </c>
      <c r="AB89" s="24" t="str">
        <f aca="false">IF(AND(ISNUMBER($M89),AB$5&gt;=$M89,AB$5&lt;=IF($N89="",$L$1,$N89),WEEKDAY(AB$5,2)&lt;6,COUNTIF(휴일!$A$2:$A$2,AB$5)=0),2,IF(AND(ISNUMBER($K89),AB$5&gt;=$K89,AB$5&lt;=$L89,WEEKDAY(AB$5,2)&lt;6,COUNTIF(휴일!$A$2:$A$2,AB$5)=0),1,""))</f>
        <v/>
      </c>
      <c r="AC89" s="23" t="str">
        <f aca="false">IF(AND(ISNUMBER($M89),AC$5&gt;=$M89,AC$5&lt;=IF($N89="",$L$1,$N89),WEEKDAY(AC$5,2)&lt;6,COUNTIF(휴일!$A$2:$A$2,AC$5)=0),2,IF(AND(ISNUMBER($K89),AC$5&gt;=$K89,AC$5&lt;=$L89,WEEKDAY(AC$5,2)&lt;6,COUNTIF(휴일!$A$2:$A$2,AC$5)=0),1,""))</f>
        <v/>
      </c>
      <c r="AD89" s="23" t="str">
        <f aca="false">IF(AND(ISNUMBER($M89),AD$5&gt;=$M89,AD$5&lt;=IF($N89="",$L$1,$N89),WEEKDAY(AD$5,2)&lt;6,COUNTIF(휴일!$A$2:$A$2,AD$5)=0),2,IF(AND(ISNUMBER($K89),AD$5&gt;=$K89,AD$5&lt;=$L89,WEEKDAY(AD$5,2)&lt;6,COUNTIF(휴일!$A$2:$A$2,AD$5)=0),1,""))</f>
        <v/>
      </c>
      <c r="AE89" s="23" t="str">
        <f aca="false">IF(AND(ISNUMBER($M89),AE$5&gt;=$M89,AE$5&lt;=IF($N89="",$L$1,$N89),WEEKDAY(AE$5,2)&lt;6,COUNTIF(휴일!$A$2:$A$2,AE$5)=0),2,IF(AND(ISNUMBER($K89),AE$5&gt;=$K89,AE$5&lt;=$L89,WEEKDAY(AE$5,2)&lt;6,COUNTIF(휴일!$A$2:$A$2,AE$5)=0),1,""))</f>
        <v/>
      </c>
      <c r="AF89" s="25" t="s">
        <v>83</v>
      </c>
      <c r="AG89" s="26"/>
      <c r="AH89" s="26"/>
    </row>
    <row r="90" customFormat="false" ht="54" hidden="false" customHeight="true" outlineLevel="0" collapsed="false">
      <c r="A90" s="2"/>
      <c r="B90" s="14"/>
      <c r="C90" s="14"/>
      <c r="D90" s="16"/>
      <c r="E90" s="16"/>
      <c r="F90" s="27" t="s">
        <v>213</v>
      </c>
      <c r="G90" s="27"/>
      <c r="H90" s="27" t="s">
        <v>34</v>
      </c>
      <c r="I90" s="27" t="s">
        <v>33</v>
      </c>
      <c r="J90" s="27" t="s">
        <v>214</v>
      </c>
      <c r="K90" s="28"/>
      <c r="L90" s="28"/>
      <c r="M90" s="34"/>
      <c r="N90" s="34"/>
      <c r="O90" s="29" t="str">
        <f aca="false">IF(OR(K90="",L90=""),"",IF(L90&lt;K90,"날짜 확인",NETWORKDAYS(K90,L90,휴일!$A$2:$A$2)))</f>
        <v/>
      </c>
      <c r="P90" s="29" t="str">
        <f aca="false">IF(OR(M90="",N90=""),"",IF(N90&lt;M90,"날짜 확인",NETWORKDAYS(M90,N90,휴일!$A$2:$A$2)))</f>
        <v/>
      </c>
      <c r="Q90" s="29" t="str">
        <f aca="false">IF(O90="","",IF($L$1&lt;K90,0,NETWORKDAYS(K90,MIN($L$1,L90),휴일!$A$2:$A$2)))</f>
        <v/>
      </c>
      <c r="R90" s="29" t="str">
        <f aca="false">IF(M90="","",IF($L$1&lt;M90,0,NETWORKDAYS(M90,IF(N90="",$L$1,MIN($L$1,N90)),휴일!$A$2:$A$2)))</f>
        <v/>
      </c>
      <c r="S90" s="30" t="str">
        <f aca="false">IF(O90="","",IF(O90=0,0,Q90/O90))</f>
        <v/>
      </c>
      <c r="T90" s="31" t="str">
        <f aca="false">IF(OR(AND(AG90&lt;&gt;"",OR(NOT(ISNUMBER(AG90)),AG90&lt;=0)),AND(AH90&lt;&gt;"",OR(NOT(ISNUMBER(AH90)),AH90&lt;0)),AND(ISNUMBER(AG90),ISNUMBER(AH90),AH90&gt;AG90)),"수량 확인",IF(AF90="완료",1,IF(AF90="미착수",0,IF(AND(ISNUMBER(AG90),ISNUMBER(AH90)),AH90/AG90,""))))</f>
        <v/>
      </c>
      <c r="U90" s="30" t="str">
        <f aca="false">IF(T90="","",T90)</f>
        <v/>
      </c>
      <c r="V90" s="30" t="str">
        <f aca="false">IF(OR(U90="",S90=""),"",U90-S90)</f>
        <v/>
      </c>
      <c r="W90" s="32" t="str">
        <f aca="false">IF(AND(ISNUMBER($M90),W$5&gt;=$M90,W$5&lt;=IF($N90="",$L$1,$N90),WEEKDAY(W$5,2)&lt;6,COUNTIF(휴일!$A$2:$A$2,W$5)=0),2,IF(AND(ISNUMBER($K90),W$5&gt;=$K90,W$5&lt;=$L90,WEEKDAY(W$5,2)&lt;6,COUNTIF(휴일!$A$2:$A$2,W$5)=0),1,""))</f>
        <v/>
      </c>
      <c r="X90" s="32" t="str">
        <f aca="false">IF(AND(ISNUMBER($M90),X$5&gt;=$M90,X$5&lt;=IF($N90="",$L$1,$N90),WEEKDAY(X$5,2)&lt;6,COUNTIF(휴일!$A$2:$A$2,X$5)=0),2,IF(AND(ISNUMBER($K90),X$5&gt;=$K90,X$5&lt;=$L90,WEEKDAY(X$5,2)&lt;6,COUNTIF(휴일!$A$2:$A$2,X$5)=0),1,""))</f>
        <v/>
      </c>
      <c r="Y90" s="32" t="str">
        <f aca="false">IF(AND(ISNUMBER($M90),Y$5&gt;=$M90,Y$5&lt;=IF($N90="",$L$1,$N90),WEEKDAY(Y$5,2)&lt;6,COUNTIF(휴일!$A$2:$A$2,Y$5)=0),2,IF(AND(ISNUMBER($K90),Y$5&gt;=$K90,Y$5&lt;=$L90,WEEKDAY(Y$5,2)&lt;6,COUNTIF(휴일!$A$2:$A$2,Y$5)=0),1,""))</f>
        <v/>
      </c>
      <c r="Z90" s="33" t="str">
        <f aca="false">IF(AND(ISNUMBER($M90),Z$5&gt;=$M90,Z$5&lt;=IF($N90="",$L$1,$N90),WEEKDAY(Z$5,2)&lt;6,COUNTIF(휴일!$A$2:$A$2,Z$5)=0),2,IF(AND(ISNUMBER($K90),Z$5&gt;=$K90,Z$5&lt;=$L90,WEEKDAY(Z$5,2)&lt;6,COUNTIF(휴일!$A$2:$A$2,Z$5)=0),1,""))</f>
        <v/>
      </c>
      <c r="AA90" s="33" t="str">
        <f aca="false">IF(AND(ISNUMBER($M90),AA$5&gt;=$M90,AA$5&lt;=IF($N90="",$L$1,$N90),WEEKDAY(AA$5,2)&lt;6,COUNTIF(휴일!$A$2:$A$2,AA$5)=0),2,IF(AND(ISNUMBER($K90),AA$5&gt;=$K90,AA$5&lt;=$L90,WEEKDAY(AA$5,2)&lt;6,COUNTIF(휴일!$A$2:$A$2,AA$5)=0),1,""))</f>
        <v/>
      </c>
      <c r="AB90" s="33" t="str">
        <f aca="false">IF(AND(ISNUMBER($M90),AB$5&gt;=$M90,AB$5&lt;=IF($N90="",$L$1,$N90),WEEKDAY(AB$5,2)&lt;6,COUNTIF(휴일!$A$2:$A$2,AB$5)=0),2,IF(AND(ISNUMBER($K90),AB$5&gt;=$K90,AB$5&lt;=$L90,WEEKDAY(AB$5,2)&lt;6,COUNTIF(휴일!$A$2:$A$2,AB$5)=0),1,""))</f>
        <v/>
      </c>
      <c r="AC90" s="32" t="str">
        <f aca="false">IF(AND(ISNUMBER($M90),AC$5&gt;=$M90,AC$5&lt;=IF($N90="",$L$1,$N90),WEEKDAY(AC$5,2)&lt;6,COUNTIF(휴일!$A$2:$A$2,AC$5)=0),2,IF(AND(ISNUMBER($K90),AC$5&gt;=$K90,AC$5&lt;=$L90,WEEKDAY(AC$5,2)&lt;6,COUNTIF(휴일!$A$2:$A$2,AC$5)=0),1,""))</f>
        <v/>
      </c>
      <c r="AD90" s="32" t="str">
        <f aca="false">IF(AND(ISNUMBER($M90),AD$5&gt;=$M90,AD$5&lt;=IF($N90="",$L$1,$N90),WEEKDAY(AD$5,2)&lt;6,COUNTIF(휴일!$A$2:$A$2,AD$5)=0),2,IF(AND(ISNUMBER($K90),AD$5&gt;=$K90,AD$5&lt;=$L90,WEEKDAY(AD$5,2)&lt;6,COUNTIF(휴일!$A$2:$A$2,AD$5)=0),1,""))</f>
        <v/>
      </c>
      <c r="AE90" s="32" t="str">
        <f aca="false">IF(AND(ISNUMBER($M90),AE$5&gt;=$M90,AE$5&lt;=IF($N90="",$L$1,$N90),WEEKDAY(AE$5,2)&lt;6,COUNTIF(휴일!$A$2:$A$2,AE$5)=0),2,IF(AND(ISNUMBER($K90),AE$5&gt;=$K90,AE$5&lt;=$L90,WEEKDAY(AE$5,2)&lt;6,COUNTIF(휴일!$A$2:$A$2,AE$5)=0),1,""))</f>
        <v/>
      </c>
      <c r="AF90" s="25" t="s">
        <v>83</v>
      </c>
      <c r="AG90" s="26"/>
      <c r="AH90" s="26"/>
    </row>
    <row r="91" customFormat="false" ht="54" hidden="false" customHeight="true" outlineLevel="0" collapsed="false">
      <c r="A91" s="2"/>
      <c r="B91" s="14"/>
      <c r="C91" s="14"/>
      <c r="D91" s="16"/>
      <c r="E91" s="16"/>
      <c r="F91" s="27" t="s">
        <v>215</v>
      </c>
      <c r="G91" s="27"/>
      <c r="H91" s="27" t="s">
        <v>34</v>
      </c>
      <c r="I91" s="27" t="s">
        <v>33</v>
      </c>
      <c r="J91" s="27" t="s">
        <v>216</v>
      </c>
      <c r="K91" s="28"/>
      <c r="L91" s="28"/>
      <c r="M91" s="34"/>
      <c r="N91" s="34"/>
      <c r="O91" s="29" t="str">
        <f aca="false">IF(OR(K91="",L91=""),"",IF(L91&lt;K91,"날짜 확인",NETWORKDAYS(K91,L91,휴일!$A$2:$A$2)))</f>
        <v/>
      </c>
      <c r="P91" s="29" t="str">
        <f aca="false">IF(OR(M91="",N91=""),"",IF(N91&lt;M91,"날짜 확인",NETWORKDAYS(M91,N91,휴일!$A$2:$A$2)))</f>
        <v/>
      </c>
      <c r="Q91" s="29" t="str">
        <f aca="false">IF(O91="","",IF($L$1&lt;K91,0,NETWORKDAYS(K91,MIN($L$1,L91),휴일!$A$2:$A$2)))</f>
        <v/>
      </c>
      <c r="R91" s="29" t="str">
        <f aca="false">IF(M91="","",IF($L$1&lt;M91,0,NETWORKDAYS(M91,IF(N91="",$L$1,MIN($L$1,N91)),휴일!$A$2:$A$2)))</f>
        <v/>
      </c>
      <c r="S91" s="30" t="str">
        <f aca="false">IF(O91="","",IF(O91=0,0,Q91/O91))</f>
        <v/>
      </c>
      <c r="T91" s="31" t="str">
        <f aca="false">IF(OR(AND(AG91&lt;&gt;"",OR(NOT(ISNUMBER(AG91)),AG91&lt;=0)),AND(AH91&lt;&gt;"",OR(NOT(ISNUMBER(AH91)),AH91&lt;0)),AND(ISNUMBER(AG91),ISNUMBER(AH91),AH91&gt;AG91)),"수량 확인",IF(AF91="완료",1,IF(AF91="미착수",0,IF(AND(ISNUMBER(AG91),ISNUMBER(AH91)),AH91/AG91,""))))</f>
        <v/>
      </c>
      <c r="U91" s="30" t="str">
        <f aca="false">IF(T91="","",T91)</f>
        <v/>
      </c>
      <c r="V91" s="30" t="str">
        <f aca="false">IF(OR(U91="",S91=""),"",U91-S91)</f>
        <v/>
      </c>
      <c r="W91" s="32" t="str">
        <f aca="false">IF(AND(ISNUMBER($M91),W$5&gt;=$M91,W$5&lt;=IF($N91="",$L$1,$N91),WEEKDAY(W$5,2)&lt;6,COUNTIF(휴일!$A$2:$A$2,W$5)=0),2,IF(AND(ISNUMBER($K91),W$5&gt;=$K91,W$5&lt;=$L91,WEEKDAY(W$5,2)&lt;6,COUNTIF(휴일!$A$2:$A$2,W$5)=0),1,""))</f>
        <v/>
      </c>
      <c r="X91" s="32" t="str">
        <f aca="false">IF(AND(ISNUMBER($M91),X$5&gt;=$M91,X$5&lt;=IF($N91="",$L$1,$N91),WEEKDAY(X$5,2)&lt;6,COUNTIF(휴일!$A$2:$A$2,X$5)=0),2,IF(AND(ISNUMBER($K91),X$5&gt;=$K91,X$5&lt;=$L91,WEEKDAY(X$5,2)&lt;6,COUNTIF(휴일!$A$2:$A$2,X$5)=0),1,""))</f>
        <v/>
      </c>
      <c r="Y91" s="32" t="str">
        <f aca="false">IF(AND(ISNUMBER($M91),Y$5&gt;=$M91,Y$5&lt;=IF($N91="",$L$1,$N91),WEEKDAY(Y$5,2)&lt;6,COUNTIF(휴일!$A$2:$A$2,Y$5)=0),2,IF(AND(ISNUMBER($K91),Y$5&gt;=$K91,Y$5&lt;=$L91,WEEKDAY(Y$5,2)&lt;6,COUNTIF(휴일!$A$2:$A$2,Y$5)=0),1,""))</f>
        <v/>
      </c>
      <c r="Z91" s="33" t="str">
        <f aca="false">IF(AND(ISNUMBER($M91),Z$5&gt;=$M91,Z$5&lt;=IF($N91="",$L$1,$N91),WEEKDAY(Z$5,2)&lt;6,COUNTIF(휴일!$A$2:$A$2,Z$5)=0),2,IF(AND(ISNUMBER($K91),Z$5&gt;=$K91,Z$5&lt;=$L91,WEEKDAY(Z$5,2)&lt;6,COUNTIF(휴일!$A$2:$A$2,Z$5)=0),1,""))</f>
        <v/>
      </c>
      <c r="AA91" s="33" t="str">
        <f aca="false">IF(AND(ISNUMBER($M91),AA$5&gt;=$M91,AA$5&lt;=IF($N91="",$L$1,$N91),WEEKDAY(AA$5,2)&lt;6,COUNTIF(휴일!$A$2:$A$2,AA$5)=0),2,IF(AND(ISNUMBER($K91),AA$5&gt;=$K91,AA$5&lt;=$L91,WEEKDAY(AA$5,2)&lt;6,COUNTIF(휴일!$A$2:$A$2,AA$5)=0),1,""))</f>
        <v/>
      </c>
      <c r="AB91" s="33" t="str">
        <f aca="false">IF(AND(ISNUMBER($M91),AB$5&gt;=$M91,AB$5&lt;=IF($N91="",$L$1,$N91),WEEKDAY(AB$5,2)&lt;6,COUNTIF(휴일!$A$2:$A$2,AB$5)=0),2,IF(AND(ISNUMBER($K91),AB$5&gt;=$K91,AB$5&lt;=$L91,WEEKDAY(AB$5,2)&lt;6,COUNTIF(휴일!$A$2:$A$2,AB$5)=0),1,""))</f>
        <v/>
      </c>
      <c r="AC91" s="32" t="str">
        <f aca="false">IF(AND(ISNUMBER($M91),AC$5&gt;=$M91,AC$5&lt;=IF($N91="",$L$1,$N91),WEEKDAY(AC$5,2)&lt;6,COUNTIF(휴일!$A$2:$A$2,AC$5)=0),2,IF(AND(ISNUMBER($K91),AC$5&gt;=$K91,AC$5&lt;=$L91,WEEKDAY(AC$5,2)&lt;6,COUNTIF(휴일!$A$2:$A$2,AC$5)=0),1,""))</f>
        <v/>
      </c>
      <c r="AD91" s="32" t="str">
        <f aca="false">IF(AND(ISNUMBER($M91),AD$5&gt;=$M91,AD$5&lt;=IF($N91="",$L$1,$N91),WEEKDAY(AD$5,2)&lt;6,COUNTIF(휴일!$A$2:$A$2,AD$5)=0),2,IF(AND(ISNUMBER($K91),AD$5&gt;=$K91,AD$5&lt;=$L91,WEEKDAY(AD$5,2)&lt;6,COUNTIF(휴일!$A$2:$A$2,AD$5)=0),1,""))</f>
        <v/>
      </c>
      <c r="AE91" s="32" t="str">
        <f aca="false">IF(AND(ISNUMBER($M91),AE$5&gt;=$M91,AE$5&lt;=IF($N91="",$L$1,$N91),WEEKDAY(AE$5,2)&lt;6,COUNTIF(휴일!$A$2:$A$2,AE$5)=0),2,IF(AND(ISNUMBER($K91),AE$5&gt;=$K91,AE$5&lt;=$L91,WEEKDAY(AE$5,2)&lt;6,COUNTIF(휴일!$A$2:$A$2,AE$5)=0),1,""))</f>
        <v/>
      </c>
      <c r="AF91" s="25" t="s">
        <v>83</v>
      </c>
      <c r="AG91" s="26"/>
      <c r="AH91" s="26"/>
    </row>
    <row r="92" customFormat="false" ht="54" hidden="false" customHeight="true" outlineLevel="0" collapsed="false">
      <c r="A92" s="2"/>
      <c r="B92" s="14"/>
      <c r="C92" s="14"/>
      <c r="D92" s="16"/>
      <c r="E92" s="16"/>
      <c r="F92" s="27" t="s">
        <v>217</v>
      </c>
      <c r="G92" s="27"/>
      <c r="H92" s="27" t="s">
        <v>33</v>
      </c>
      <c r="I92" s="27" t="s">
        <v>34</v>
      </c>
      <c r="J92" s="27" t="s">
        <v>218</v>
      </c>
      <c r="K92" s="28"/>
      <c r="L92" s="28"/>
      <c r="M92" s="34"/>
      <c r="N92" s="34"/>
      <c r="O92" s="29" t="str">
        <f aca="false">IF(OR(K92="",L92=""),"",IF(L92&lt;K92,"날짜 확인",NETWORKDAYS(K92,L92,휴일!$A$2:$A$2)))</f>
        <v/>
      </c>
      <c r="P92" s="29" t="str">
        <f aca="false">IF(OR(M92="",N92=""),"",IF(N92&lt;M92,"날짜 확인",NETWORKDAYS(M92,N92,휴일!$A$2:$A$2)))</f>
        <v/>
      </c>
      <c r="Q92" s="29" t="str">
        <f aca="false">IF(O92="","",IF($L$1&lt;K92,0,NETWORKDAYS(K92,MIN($L$1,L92),휴일!$A$2:$A$2)))</f>
        <v/>
      </c>
      <c r="R92" s="29" t="str">
        <f aca="false">IF(M92="","",IF($L$1&lt;M92,0,NETWORKDAYS(M92,IF(N92="",$L$1,MIN($L$1,N92)),휴일!$A$2:$A$2)))</f>
        <v/>
      </c>
      <c r="S92" s="30" t="str">
        <f aca="false">IF(O92="","",IF(O92=0,0,Q92/O92))</f>
        <v/>
      </c>
      <c r="T92" s="31" t="str">
        <f aca="false">IF(OR(AND(AG92&lt;&gt;"",OR(NOT(ISNUMBER(AG92)),AG92&lt;=0)),AND(AH92&lt;&gt;"",OR(NOT(ISNUMBER(AH92)),AH92&lt;0)),AND(ISNUMBER(AG92),ISNUMBER(AH92),AH92&gt;AG92)),"수량 확인",IF(AF92="완료",1,IF(AF92="미착수",0,IF(AND(ISNUMBER(AG92),ISNUMBER(AH92)),AH92/AG92,""))))</f>
        <v/>
      </c>
      <c r="U92" s="30" t="str">
        <f aca="false">IF(T92="","",T92)</f>
        <v/>
      </c>
      <c r="V92" s="30" t="str">
        <f aca="false">IF(OR(U92="",S92=""),"",U92-S92)</f>
        <v/>
      </c>
      <c r="W92" s="32" t="str">
        <f aca="false">IF(AND(ISNUMBER($M92),W$5&gt;=$M92,W$5&lt;=IF($N92="",$L$1,$N92),WEEKDAY(W$5,2)&lt;6,COUNTIF(휴일!$A$2:$A$2,W$5)=0),2,IF(AND(ISNUMBER($K92),W$5&gt;=$K92,W$5&lt;=$L92,WEEKDAY(W$5,2)&lt;6,COUNTIF(휴일!$A$2:$A$2,W$5)=0),1,""))</f>
        <v/>
      </c>
      <c r="X92" s="32" t="str">
        <f aca="false">IF(AND(ISNUMBER($M92),X$5&gt;=$M92,X$5&lt;=IF($N92="",$L$1,$N92),WEEKDAY(X$5,2)&lt;6,COUNTIF(휴일!$A$2:$A$2,X$5)=0),2,IF(AND(ISNUMBER($K92),X$5&gt;=$K92,X$5&lt;=$L92,WEEKDAY(X$5,2)&lt;6,COUNTIF(휴일!$A$2:$A$2,X$5)=0),1,""))</f>
        <v/>
      </c>
      <c r="Y92" s="32" t="str">
        <f aca="false">IF(AND(ISNUMBER($M92),Y$5&gt;=$M92,Y$5&lt;=IF($N92="",$L$1,$N92),WEEKDAY(Y$5,2)&lt;6,COUNTIF(휴일!$A$2:$A$2,Y$5)=0),2,IF(AND(ISNUMBER($K92),Y$5&gt;=$K92,Y$5&lt;=$L92,WEEKDAY(Y$5,2)&lt;6,COUNTIF(휴일!$A$2:$A$2,Y$5)=0),1,""))</f>
        <v/>
      </c>
      <c r="Z92" s="33" t="str">
        <f aca="false">IF(AND(ISNUMBER($M92),Z$5&gt;=$M92,Z$5&lt;=IF($N92="",$L$1,$N92),WEEKDAY(Z$5,2)&lt;6,COUNTIF(휴일!$A$2:$A$2,Z$5)=0),2,IF(AND(ISNUMBER($K92),Z$5&gt;=$K92,Z$5&lt;=$L92,WEEKDAY(Z$5,2)&lt;6,COUNTIF(휴일!$A$2:$A$2,Z$5)=0),1,""))</f>
        <v/>
      </c>
      <c r="AA92" s="33" t="str">
        <f aca="false">IF(AND(ISNUMBER($M92),AA$5&gt;=$M92,AA$5&lt;=IF($N92="",$L$1,$N92),WEEKDAY(AA$5,2)&lt;6,COUNTIF(휴일!$A$2:$A$2,AA$5)=0),2,IF(AND(ISNUMBER($K92),AA$5&gt;=$K92,AA$5&lt;=$L92,WEEKDAY(AA$5,2)&lt;6,COUNTIF(휴일!$A$2:$A$2,AA$5)=0),1,""))</f>
        <v/>
      </c>
      <c r="AB92" s="33" t="str">
        <f aca="false">IF(AND(ISNUMBER($M92),AB$5&gt;=$M92,AB$5&lt;=IF($N92="",$L$1,$N92),WEEKDAY(AB$5,2)&lt;6,COUNTIF(휴일!$A$2:$A$2,AB$5)=0),2,IF(AND(ISNUMBER($K92),AB$5&gt;=$K92,AB$5&lt;=$L92,WEEKDAY(AB$5,2)&lt;6,COUNTIF(휴일!$A$2:$A$2,AB$5)=0),1,""))</f>
        <v/>
      </c>
      <c r="AC92" s="32" t="str">
        <f aca="false">IF(AND(ISNUMBER($M92),AC$5&gt;=$M92,AC$5&lt;=IF($N92="",$L$1,$N92),WEEKDAY(AC$5,2)&lt;6,COUNTIF(휴일!$A$2:$A$2,AC$5)=0),2,IF(AND(ISNUMBER($K92),AC$5&gt;=$K92,AC$5&lt;=$L92,WEEKDAY(AC$5,2)&lt;6,COUNTIF(휴일!$A$2:$A$2,AC$5)=0),1,""))</f>
        <v/>
      </c>
      <c r="AD92" s="32" t="str">
        <f aca="false">IF(AND(ISNUMBER($M92),AD$5&gt;=$M92,AD$5&lt;=IF($N92="",$L$1,$N92),WEEKDAY(AD$5,2)&lt;6,COUNTIF(휴일!$A$2:$A$2,AD$5)=0),2,IF(AND(ISNUMBER($K92),AD$5&gt;=$K92,AD$5&lt;=$L92,WEEKDAY(AD$5,2)&lt;6,COUNTIF(휴일!$A$2:$A$2,AD$5)=0),1,""))</f>
        <v/>
      </c>
      <c r="AE92" s="32" t="str">
        <f aca="false">IF(AND(ISNUMBER($M92),AE$5&gt;=$M92,AE$5&lt;=IF($N92="",$L$1,$N92),WEEKDAY(AE$5,2)&lt;6,COUNTIF(휴일!$A$2:$A$2,AE$5)=0),2,IF(AND(ISNUMBER($K92),AE$5&gt;=$K92,AE$5&lt;=$L92,WEEKDAY(AE$5,2)&lt;6,COUNTIF(휴일!$A$2:$A$2,AE$5)=0),1,""))</f>
        <v/>
      </c>
      <c r="AF92" s="25" t="s">
        <v>83</v>
      </c>
      <c r="AG92" s="26"/>
      <c r="AH92" s="26"/>
    </row>
    <row r="93" customFormat="false" ht="54" hidden="false" customHeight="true" outlineLevel="0" collapsed="false">
      <c r="A93" s="2"/>
      <c r="B93" s="14"/>
      <c r="C93" s="14"/>
      <c r="D93" s="16"/>
      <c r="E93" s="16"/>
      <c r="F93" s="27" t="s">
        <v>219</v>
      </c>
      <c r="G93" s="27"/>
      <c r="H93" s="27" t="s">
        <v>34</v>
      </c>
      <c r="I93" s="27" t="s">
        <v>33</v>
      </c>
      <c r="J93" s="27" t="s">
        <v>220</v>
      </c>
      <c r="K93" s="28"/>
      <c r="L93" s="28"/>
      <c r="M93" s="34"/>
      <c r="N93" s="34"/>
      <c r="O93" s="29" t="str">
        <f aca="false">IF(OR(K93="",L93=""),"",IF(L93&lt;K93,"날짜 확인",NETWORKDAYS(K93,L93,휴일!$A$2:$A$2)))</f>
        <v/>
      </c>
      <c r="P93" s="29" t="str">
        <f aca="false">IF(OR(M93="",N93=""),"",IF(N93&lt;M93,"날짜 확인",NETWORKDAYS(M93,N93,휴일!$A$2:$A$2)))</f>
        <v/>
      </c>
      <c r="Q93" s="29" t="str">
        <f aca="false">IF(O93="","",IF($L$1&lt;K93,0,NETWORKDAYS(K93,MIN($L$1,L93),휴일!$A$2:$A$2)))</f>
        <v/>
      </c>
      <c r="R93" s="29" t="str">
        <f aca="false">IF(M93="","",IF($L$1&lt;M93,0,NETWORKDAYS(M93,IF(N93="",$L$1,MIN($L$1,N93)),휴일!$A$2:$A$2)))</f>
        <v/>
      </c>
      <c r="S93" s="30" t="str">
        <f aca="false">IF(O93="","",IF(O93=0,0,Q93/O93))</f>
        <v/>
      </c>
      <c r="T93" s="31" t="str">
        <f aca="false">IF(OR(AND(AG93&lt;&gt;"",OR(NOT(ISNUMBER(AG93)),AG93&lt;=0)),AND(AH93&lt;&gt;"",OR(NOT(ISNUMBER(AH93)),AH93&lt;0)),AND(ISNUMBER(AG93),ISNUMBER(AH93),AH93&gt;AG93)),"수량 확인",IF(AF93="완료",1,IF(AF93="미착수",0,IF(AND(ISNUMBER(AG93),ISNUMBER(AH93)),AH93/AG93,""))))</f>
        <v/>
      </c>
      <c r="U93" s="30" t="str">
        <f aca="false">IF(T93="","",T93)</f>
        <v/>
      </c>
      <c r="V93" s="30" t="str">
        <f aca="false">IF(OR(U93="",S93=""),"",U93-S93)</f>
        <v/>
      </c>
      <c r="W93" s="32" t="str">
        <f aca="false">IF(AND(ISNUMBER($M93),W$5&gt;=$M93,W$5&lt;=IF($N93="",$L$1,$N93),WEEKDAY(W$5,2)&lt;6,COUNTIF(휴일!$A$2:$A$2,W$5)=0),2,IF(AND(ISNUMBER($K93),W$5&gt;=$K93,W$5&lt;=$L93,WEEKDAY(W$5,2)&lt;6,COUNTIF(휴일!$A$2:$A$2,W$5)=0),1,""))</f>
        <v/>
      </c>
      <c r="X93" s="32" t="str">
        <f aca="false">IF(AND(ISNUMBER($M93),X$5&gt;=$M93,X$5&lt;=IF($N93="",$L$1,$N93),WEEKDAY(X$5,2)&lt;6,COUNTIF(휴일!$A$2:$A$2,X$5)=0),2,IF(AND(ISNUMBER($K93),X$5&gt;=$K93,X$5&lt;=$L93,WEEKDAY(X$5,2)&lt;6,COUNTIF(휴일!$A$2:$A$2,X$5)=0),1,""))</f>
        <v/>
      </c>
      <c r="Y93" s="32" t="str">
        <f aca="false">IF(AND(ISNUMBER($M93),Y$5&gt;=$M93,Y$5&lt;=IF($N93="",$L$1,$N93),WEEKDAY(Y$5,2)&lt;6,COUNTIF(휴일!$A$2:$A$2,Y$5)=0),2,IF(AND(ISNUMBER($K93),Y$5&gt;=$K93,Y$5&lt;=$L93,WEEKDAY(Y$5,2)&lt;6,COUNTIF(휴일!$A$2:$A$2,Y$5)=0),1,""))</f>
        <v/>
      </c>
      <c r="Z93" s="33" t="str">
        <f aca="false">IF(AND(ISNUMBER($M93),Z$5&gt;=$M93,Z$5&lt;=IF($N93="",$L$1,$N93),WEEKDAY(Z$5,2)&lt;6,COUNTIF(휴일!$A$2:$A$2,Z$5)=0),2,IF(AND(ISNUMBER($K93),Z$5&gt;=$K93,Z$5&lt;=$L93,WEEKDAY(Z$5,2)&lt;6,COUNTIF(휴일!$A$2:$A$2,Z$5)=0),1,""))</f>
        <v/>
      </c>
      <c r="AA93" s="33" t="str">
        <f aca="false">IF(AND(ISNUMBER($M93),AA$5&gt;=$M93,AA$5&lt;=IF($N93="",$L$1,$N93),WEEKDAY(AA$5,2)&lt;6,COUNTIF(휴일!$A$2:$A$2,AA$5)=0),2,IF(AND(ISNUMBER($K93),AA$5&gt;=$K93,AA$5&lt;=$L93,WEEKDAY(AA$5,2)&lt;6,COUNTIF(휴일!$A$2:$A$2,AA$5)=0),1,""))</f>
        <v/>
      </c>
      <c r="AB93" s="33" t="str">
        <f aca="false">IF(AND(ISNUMBER($M93),AB$5&gt;=$M93,AB$5&lt;=IF($N93="",$L$1,$N93),WEEKDAY(AB$5,2)&lt;6,COUNTIF(휴일!$A$2:$A$2,AB$5)=0),2,IF(AND(ISNUMBER($K93),AB$5&gt;=$K93,AB$5&lt;=$L93,WEEKDAY(AB$5,2)&lt;6,COUNTIF(휴일!$A$2:$A$2,AB$5)=0),1,""))</f>
        <v/>
      </c>
      <c r="AC93" s="32" t="str">
        <f aca="false">IF(AND(ISNUMBER($M93),AC$5&gt;=$M93,AC$5&lt;=IF($N93="",$L$1,$N93),WEEKDAY(AC$5,2)&lt;6,COUNTIF(휴일!$A$2:$A$2,AC$5)=0),2,IF(AND(ISNUMBER($K93),AC$5&gt;=$K93,AC$5&lt;=$L93,WEEKDAY(AC$5,2)&lt;6,COUNTIF(휴일!$A$2:$A$2,AC$5)=0),1,""))</f>
        <v/>
      </c>
      <c r="AD93" s="32" t="str">
        <f aca="false">IF(AND(ISNUMBER($M93),AD$5&gt;=$M93,AD$5&lt;=IF($N93="",$L$1,$N93),WEEKDAY(AD$5,2)&lt;6,COUNTIF(휴일!$A$2:$A$2,AD$5)=0),2,IF(AND(ISNUMBER($K93),AD$5&gt;=$K93,AD$5&lt;=$L93,WEEKDAY(AD$5,2)&lt;6,COUNTIF(휴일!$A$2:$A$2,AD$5)=0),1,""))</f>
        <v/>
      </c>
      <c r="AE93" s="32" t="str">
        <f aca="false">IF(AND(ISNUMBER($M93),AE$5&gt;=$M93,AE$5&lt;=IF($N93="",$L$1,$N93),WEEKDAY(AE$5,2)&lt;6,COUNTIF(휴일!$A$2:$A$2,AE$5)=0),2,IF(AND(ISNUMBER($K93),AE$5&gt;=$K93,AE$5&lt;=$L93,WEEKDAY(AE$5,2)&lt;6,COUNTIF(휴일!$A$2:$A$2,AE$5)=0),1,""))</f>
        <v/>
      </c>
      <c r="AF93" s="25" t="s">
        <v>83</v>
      </c>
      <c r="AG93" s="26"/>
      <c r="AH93" s="26"/>
    </row>
    <row r="94" customFormat="false" ht="54" hidden="false" customHeight="true" outlineLevel="0" collapsed="false">
      <c r="A94" s="2"/>
      <c r="B94" s="14"/>
      <c r="C94" s="14"/>
      <c r="D94" s="16"/>
      <c r="E94" s="16"/>
      <c r="F94" s="27" t="s">
        <v>221</v>
      </c>
      <c r="G94" s="27"/>
      <c r="H94" s="27" t="s">
        <v>34</v>
      </c>
      <c r="I94" s="27" t="s">
        <v>33</v>
      </c>
      <c r="J94" s="27" t="s">
        <v>222</v>
      </c>
      <c r="K94" s="28"/>
      <c r="L94" s="28"/>
      <c r="M94" s="34"/>
      <c r="N94" s="34"/>
      <c r="O94" s="29" t="str">
        <f aca="false">IF(OR(K94="",L94=""),"",IF(L94&lt;K94,"날짜 확인",NETWORKDAYS(K94,L94,휴일!$A$2:$A$2)))</f>
        <v/>
      </c>
      <c r="P94" s="29" t="str">
        <f aca="false">IF(OR(M94="",N94=""),"",IF(N94&lt;M94,"날짜 확인",NETWORKDAYS(M94,N94,휴일!$A$2:$A$2)))</f>
        <v/>
      </c>
      <c r="Q94" s="29" t="str">
        <f aca="false">IF(O94="","",IF($L$1&lt;K94,0,NETWORKDAYS(K94,MIN($L$1,L94),휴일!$A$2:$A$2)))</f>
        <v/>
      </c>
      <c r="R94" s="29" t="str">
        <f aca="false">IF(M94="","",IF($L$1&lt;M94,0,NETWORKDAYS(M94,IF(N94="",$L$1,MIN($L$1,N94)),휴일!$A$2:$A$2)))</f>
        <v/>
      </c>
      <c r="S94" s="30" t="str">
        <f aca="false">IF(O94="","",IF(O94=0,0,Q94/O94))</f>
        <v/>
      </c>
      <c r="T94" s="31" t="str">
        <f aca="false">IF(OR(AND(AG94&lt;&gt;"",OR(NOT(ISNUMBER(AG94)),AG94&lt;=0)),AND(AH94&lt;&gt;"",OR(NOT(ISNUMBER(AH94)),AH94&lt;0)),AND(ISNUMBER(AG94),ISNUMBER(AH94),AH94&gt;AG94)),"수량 확인",IF(AF94="완료",1,IF(AF94="미착수",0,IF(AND(ISNUMBER(AG94),ISNUMBER(AH94)),AH94/AG94,""))))</f>
        <v/>
      </c>
      <c r="U94" s="30" t="str">
        <f aca="false">IF(T94="","",T94)</f>
        <v/>
      </c>
      <c r="V94" s="30" t="str">
        <f aca="false">IF(OR(U94="",S94=""),"",U94-S94)</f>
        <v/>
      </c>
      <c r="W94" s="32" t="str">
        <f aca="false">IF(AND(ISNUMBER($M94),W$5&gt;=$M94,W$5&lt;=IF($N94="",$L$1,$N94),WEEKDAY(W$5,2)&lt;6,COUNTIF(휴일!$A$2:$A$2,W$5)=0),2,IF(AND(ISNUMBER($K94),W$5&gt;=$K94,W$5&lt;=$L94,WEEKDAY(W$5,2)&lt;6,COUNTIF(휴일!$A$2:$A$2,W$5)=0),1,""))</f>
        <v/>
      </c>
      <c r="X94" s="32" t="str">
        <f aca="false">IF(AND(ISNUMBER($M94),X$5&gt;=$M94,X$5&lt;=IF($N94="",$L$1,$N94),WEEKDAY(X$5,2)&lt;6,COUNTIF(휴일!$A$2:$A$2,X$5)=0),2,IF(AND(ISNUMBER($K94),X$5&gt;=$K94,X$5&lt;=$L94,WEEKDAY(X$5,2)&lt;6,COUNTIF(휴일!$A$2:$A$2,X$5)=0),1,""))</f>
        <v/>
      </c>
      <c r="Y94" s="32" t="str">
        <f aca="false">IF(AND(ISNUMBER($M94),Y$5&gt;=$M94,Y$5&lt;=IF($N94="",$L$1,$N94),WEEKDAY(Y$5,2)&lt;6,COUNTIF(휴일!$A$2:$A$2,Y$5)=0),2,IF(AND(ISNUMBER($K94),Y$5&gt;=$K94,Y$5&lt;=$L94,WEEKDAY(Y$5,2)&lt;6,COUNTIF(휴일!$A$2:$A$2,Y$5)=0),1,""))</f>
        <v/>
      </c>
      <c r="Z94" s="33" t="str">
        <f aca="false">IF(AND(ISNUMBER($M94),Z$5&gt;=$M94,Z$5&lt;=IF($N94="",$L$1,$N94),WEEKDAY(Z$5,2)&lt;6,COUNTIF(휴일!$A$2:$A$2,Z$5)=0),2,IF(AND(ISNUMBER($K94),Z$5&gt;=$K94,Z$5&lt;=$L94,WEEKDAY(Z$5,2)&lt;6,COUNTIF(휴일!$A$2:$A$2,Z$5)=0),1,""))</f>
        <v/>
      </c>
      <c r="AA94" s="33" t="str">
        <f aca="false">IF(AND(ISNUMBER($M94),AA$5&gt;=$M94,AA$5&lt;=IF($N94="",$L$1,$N94),WEEKDAY(AA$5,2)&lt;6,COUNTIF(휴일!$A$2:$A$2,AA$5)=0),2,IF(AND(ISNUMBER($K94),AA$5&gt;=$K94,AA$5&lt;=$L94,WEEKDAY(AA$5,2)&lt;6,COUNTIF(휴일!$A$2:$A$2,AA$5)=0),1,""))</f>
        <v/>
      </c>
      <c r="AB94" s="33" t="str">
        <f aca="false">IF(AND(ISNUMBER($M94),AB$5&gt;=$M94,AB$5&lt;=IF($N94="",$L$1,$N94),WEEKDAY(AB$5,2)&lt;6,COUNTIF(휴일!$A$2:$A$2,AB$5)=0),2,IF(AND(ISNUMBER($K94),AB$5&gt;=$K94,AB$5&lt;=$L94,WEEKDAY(AB$5,2)&lt;6,COUNTIF(휴일!$A$2:$A$2,AB$5)=0),1,""))</f>
        <v/>
      </c>
      <c r="AC94" s="32" t="str">
        <f aca="false">IF(AND(ISNUMBER($M94),AC$5&gt;=$M94,AC$5&lt;=IF($N94="",$L$1,$N94),WEEKDAY(AC$5,2)&lt;6,COUNTIF(휴일!$A$2:$A$2,AC$5)=0),2,IF(AND(ISNUMBER($K94),AC$5&gt;=$K94,AC$5&lt;=$L94,WEEKDAY(AC$5,2)&lt;6,COUNTIF(휴일!$A$2:$A$2,AC$5)=0),1,""))</f>
        <v/>
      </c>
      <c r="AD94" s="32" t="str">
        <f aca="false">IF(AND(ISNUMBER($M94),AD$5&gt;=$M94,AD$5&lt;=IF($N94="",$L$1,$N94),WEEKDAY(AD$5,2)&lt;6,COUNTIF(휴일!$A$2:$A$2,AD$5)=0),2,IF(AND(ISNUMBER($K94),AD$5&gt;=$K94,AD$5&lt;=$L94,WEEKDAY(AD$5,2)&lt;6,COUNTIF(휴일!$A$2:$A$2,AD$5)=0),1,""))</f>
        <v/>
      </c>
      <c r="AE94" s="32" t="str">
        <f aca="false">IF(AND(ISNUMBER($M94),AE$5&gt;=$M94,AE$5&lt;=IF($N94="",$L$1,$N94),WEEKDAY(AE$5,2)&lt;6,COUNTIF(휴일!$A$2:$A$2,AE$5)=0),2,IF(AND(ISNUMBER($K94),AE$5&gt;=$K94,AE$5&lt;=$L94,WEEKDAY(AE$5,2)&lt;6,COUNTIF(휴일!$A$2:$A$2,AE$5)=0),1,""))</f>
        <v/>
      </c>
      <c r="AF94" s="25" t="s">
        <v>83</v>
      </c>
      <c r="AG94" s="26"/>
      <c r="AH94" s="26"/>
    </row>
    <row r="95" customFormat="false" ht="54" hidden="false" customHeight="true" outlineLevel="0" collapsed="false">
      <c r="A95" s="2"/>
      <c r="B95" s="14"/>
      <c r="C95" s="14"/>
      <c r="D95" s="16"/>
      <c r="E95" s="16"/>
      <c r="F95" s="27" t="s">
        <v>223</v>
      </c>
      <c r="G95" s="27"/>
      <c r="H95" s="27" t="s">
        <v>34</v>
      </c>
      <c r="I95" s="27" t="s">
        <v>33</v>
      </c>
      <c r="J95" s="27" t="s">
        <v>224</v>
      </c>
      <c r="K95" s="28"/>
      <c r="L95" s="28"/>
      <c r="M95" s="34"/>
      <c r="N95" s="34"/>
      <c r="O95" s="29" t="str">
        <f aca="false">IF(OR(K95="",L95=""),"",IF(L95&lt;K95,"날짜 확인",NETWORKDAYS(K95,L95,휴일!$A$2:$A$2)))</f>
        <v/>
      </c>
      <c r="P95" s="29" t="str">
        <f aca="false">IF(OR(M95="",N95=""),"",IF(N95&lt;M95,"날짜 확인",NETWORKDAYS(M95,N95,휴일!$A$2:$A$2)))</f>
        <v/>
      </c>
      <c r="Q95" s="29" t="str">
        <f aca="false">IF(O95="","",IF($L$1&lt;K95,0,NETWORKDAYS(K95,MIN($L$1,L95),휴일!$A$2:$A$2)))</f>
        <v/>
      </c>
      <c r="R95" s="29" t="str">
        <f aca="false">IF(M95="","",IF($L$1&lt;M95,0,NETWORKDAYS(M95,IF(N95="",$L$1,MIN($L$1,N95)),휴일!$A$2:$A$2)))</f>
        <v/>
      </c>
      <c r="S95" s="30" t="str">
        <f aca="false">IF(O95="","",IF(O95=0,0,Q95/O95))</f>
        <v/>
      </c>
      <c r="T95" s="31" t="str">
        <f aca="false">IF(OR(AND(AG95&lt;&gt;"",OR(NOT(ISNUMBER(AG95)),AG95&lt;=0)),AND(AH95&lt;&gt;"",OR(NOT(ISNUMBER(AH95)),AH95&lt;0)),AND(ISNUMBER(AG95),ISNUMBER(AH95),AH95&gt;AG95)),"수량 확인",IF(AF95="완료",1,IF(AF95="미착수",0,IF(AND(ISNUMBER(AG95),ISNUMBER(AH95)),AH95/AG95,""))))</f>
        <v/>
      </c>
      <c r="U95" s="30" t="str">
        <f aca="false">IF(T95="","",T95)</f>
        <v/>
      </c>
      <c r="V95" s="30" t="str">
        <f aca="false">IF(OR(U95="",S95=""),"",U95-S95)</f>
        <v/>
      </c>
      <c r="W95" s="32" t="str">
        <f aca="false">IF(AND(ISNUMBER($M95),W$5&gt;=$M95,W$5&lt;=IF($N95="",$L$1,$N95),WEEKDAY(W$5,2)&lt;6,COUNTIF(휴일!$A$2:$A$2,W$5)=0),2,IF(AND(ISNUMBER($K95),W$5&gt;=$K95,W$5&lt;=$L95,WEEKDAY(W$5,2)&lt;6,COUNTIF(휴일!$A$2:$A$2,W$5)=0),1,""))</f>
        <v/>
      </c>
      <c r="X95" s="32" t="str">
        <f aca="false">IF(AND(ISNUMBER($M95),X$5&gt;=$M95,X$5&lt;=IF($N95="",$L$1,$N95),WEEKDAY(X$5,2)&lt;6,COUNTIF(휴일!$A$2:$A$2,X$5)=0),2,IF(AND(ISNUMBER($K95),X$5&gt;=$K95,X$5&lt;=$L95,WEEKDAY(X$5,2)&lt;6,COUNTIF(휴일!$A$2:$A$2,X$5)=0),1,""))</f>
        <v/>
      </c>
      <c r="Y95" s="32" t="str">
        <f aca="false">IF(AND(ISNUMBER($M95),Y$5&gt;=$M95,Y$5&lt;=IF($N95="",$L$1,$N95),WEEKDAY(Y$5,2)&lt;6,COUNTIF(휴일!$A$2:$A$2,Y$5)=0),2,IF(AND(ISNUMBER($K95),Y$5&gt;=$K95,Y$5&lt;=$L95,WEEKDAY(Y$5,2)&lt;6,COUNTIF(휴일!$A$2:$A$2,Y$5)=0),1,""))</f>
        <v/>
      </c>
      <c r="Z95" s="33" t="str">
        <f aca="false">IF(AND(ISNUMBER($M95),Z$5&gt;=$M95,Z$5&lt;=IF($N95="",$L$1,$N95),WEEKDAY(Z$5,2)&lt;6,COUNTIF(휴일!$A$2:$A$2,Z$5)=0),2,IF(AND(ISNUMBER($K95),Z$5&gt;=$K95,Z$5&lt;=$L95,WEEKDAY(Z$5,2)&lt;6,COUNTIF(휴일!$A$2:$A$2,Z$5)=0),1,""))</f>
        <v/>
      </c>
      <c r="AA95" s="33" t="str">
        <f aca="false">IF(AND(ISNUMBER($M95),AA$5&gt;=$M95,AA$5&lt;=IF($N95="",$L$1,$N95),WEEKDAY(AA$5,2)&lt;6,COUNTIF(휴일!$A$2:$A$2,AA$5)=0),2,IF(AND(ISNUMBER($K95),AA$5&gt;=$K95,AA$5&lt;=$L95,WEEKDAY(AA$5,2)&lt;6,COUNTIF(휴일!$A$2:$A$2,AA$5)=0),1,""))</f>
        <v/>
      </c>
      <c r="AB95" s="33" t="str">
        <f aca="false">IF(AND(ISNUMBER($M95),AB$5&gt;=$M95,AB$5&lt;=IF($N95="",$L$1,$N95),WEEKDAY(AB$5,2)&lt;6,COUNTIF(휴일!$A$2:$A$2,AB$5)=0),2,IF(AND(ISNUMBER($K95),AB$5&gt;=$K95,AB$5&lt;=$L95,WEEKDAY(AB$5,2)&lt;6,COUNTIF(휴일!$A$2:$A$2,AB$5)=0),1,""))</f>
        <v/>
      </c>
      <c r="AC95" s="32" t="str">
        <f aca="false">IF(AND(ISNUMBER($M95),AC$5&gt;=$M95,AC$5&lt;=IF($N95="",$L$1,$N95),WEEKDAY(AC$5,2)&lt;6,COUNTIF(휴일!$A$2:$A$2,AC$5)=0),2,IF(AND(ISNUMBER($K95),AC$5&gt;=$K95,AC$5&lt;=$L95,WEEKDAY(AC$5,2)&lt;6,COUNTIF(휴일!$A$2:$A$2,AC$5)=0),1,""))</f>
        <v/>
      </c>
      <c r="AD95" s="32" t="str">
        <f aca="false">IF(AND(ISNUMBER($M95),AD$5&gt;=$M95,AD$5&lt;=IF($N95="",$L$1,$N95),WEEKDAY(AD$5,2)&lt;6,COUNTIF(휴일!$A$2:$A$2,AD$5)=0),2,IF(AND(ISNUMBER($K95),AD$5&gt;=$K95,AD$5&lt;=$L95,WEEKDAY(AD$5,2)&lt;6,COUNTIF(휴일!$A$2:$A$2,AD$5)=0),1,""))</f>
        <v/>
      </c>
      <c r="AE95" s="32" t="str">
        <f aca="false">IF(AND(ISNUMBER($M95),AE$5&gt;=$M95,AE$5&lt;=IF($N95="",$L$1,$N95),WEEKDAY(AE$5,2)&lt;6,COUNTIF(휴일!$A$2:$A$2,AE$5)=0),2,IF(AND(ISNUMBER($K95),AE$5&gt;=$K95,AE$5&lt;=$L95,WEEKDAY(AE$5,2)&lt;6,COUNTIF(휴일!$A$2:$A$2,AE$5)=0),1,""))</f>
        <v/>
      </c>
      <c r="AF95" s="25" t="s">
        <v>83</v>
      </c>
      <c r="AG95" s="26"/>
      <c r="AH95" s="26"/>
    </row>
    <row r="96" customFormat="false" ht="54" hidden="false" customHeight="true" outlineLevel="0" collapsed="false">
      <c r="A96" s="2"/>
      <c r="B96" s="14"/>
      <c r="C96" s="14"/>
      <c r="D96" s="16"/>
      <c r="E96" s="16"/>
      <c r="F96" s="27" t="s">
        <v>225</v>
      </c>
      <c r="G96" s="27"/>
      <c r="H96" s="27" t="s">
        <v>33</v>
      </c>
      <c r="I96" s="27" t="s">
        <v>34</v>
      </c>
      <c r="J96" s="27" t="s">
        <v>226</v>
      </c>
      <c r="K96" s="28"/>
      <c r="L96" s="28"/>
      <c r="M96" s="34"/>
      <c r="N96" s="34"/>
      <c r="O96" s="29" t="str">
        <f aca="false">IF(OR(K96="",L96=""),"",IF(L96&lt;K96,"날짜 확인",NETWORKDAYS(K96,L96,휴일!$A$2:$A$2)))</f>
        <v/>
      </c>
      <c r="P96" s="29" t="str">
        <f aca="false">IF(OR(M96="",N96=""),"",IF(N96&lt;M96,"날짜 확인",NETWORKDAYS(M96,N96,휴일!$A$2:$A$2)))</f>
        <v/>
      </c>
      <c r="Q96" s="29" t="str">
        <f aca="false">IF(O96="","",IF($L$1&lt;K96,0,NETWORKDAYS(K96,MIN($L$1,L96),휴일!$A$2:$A$2)))</f>
        <v/>
      </c>
      <c r="R96" s="29" t="str">
        <f aca="false">IF(M96="","",IF($L$1&lt;M96,0,NETWORKDAYS(M96,IF(N96="",$L$1,MIN($L$1,N96)),휴일!$A$2:$A$2)))</f>
        <v/>
      </c>
      <c r="S96" s="30" t="str">
        <f aca="false">IF(O96="","",IF(O96=0,0,Q96/O96))</f>
        <v/>
      </c>
      <c r="T96" s="31" t="str">
        <f aca="false">IF(OR(AND(AG96&lt;&gt;"",OR(NOT(ISNUMBER(AG96)),AG96&lt;=0)),AND(AH96&lt;&gt;"",OR(NOT(ISNUMBER(AH96)),AH96&lt;0)),AND(ISNUMBER(AG96),ISNUMBER(AH96),AH96&gt;AG96)),"수량 확인",IF(AF96="완료",1,IF(AF96="미착수",0,IF(AND(ISNUMBER(AG96),ISNUMBER(AH96)),AH96/AG96,""))))</f>
        <v/>
      </c>
      <c r="U96" s="30" t="str">
        <f aca="false">IF(T96="","",T96)</f>
        <v/>
      </c>
      <c r="V96" s="30" t="str">
        <f aca="false">IF(OR(U96="",S96=""),"",U96-S96)</f>
        <v/>
      </c>
      <c r="W96" s="32" t="str">
        <f aca="false">IF(AND(ISNUMBER($M96),W$5&gt;=$M96,W$5&lt;=IF($N96="",$L$1,$N96),WEEKDAY(W$5,2)&lt;6,COUNTIF(휴일!$A$2:$A$2,W$5)=0),2,IF(AND(ISNUMBER($K96),W$5&gt;=$K96,W$5&lt;=$L96,WEEKDAY(W$5,2)&lt;6,COUNTIF(휴일!$A$2:$A$2,W$5)=0),1,""))</f>
        <v/>
      </c>
      <c r="X96" s="32" t="str">
        <f aca="false">IF(AND(ISNUMBER($M96),X$5&gt;=$M96,X$5&lt;=IF($N96="",$L$1,$N96),WEEKDAY(X$5,2)&lt;6,COUNTIF(휴일!$A$2:$A$2,X$5)=0),2,IF(AND(ISNUMBER($K96),X$5&gt;=$K96,X$5&lt;=$L96,WEEKDAY(X$5,2)&lt;6,COUNTIF(휴일!$A$2:$A$2,X$5)=0),1,""))</f>
        <v/>
      </c>
      <c r="Y96" s="32" t="str">
        <f aca="false">IF(AND(ISNUMBER($M96),Y$5&gt;=$M96,Y$5&lt;=IF($N96="",$L$1,$N96),WEEKDAY(Y$5,2)&lt;6,COUNTIF(휴일!$A$2:$A$2,Y$5)=0),2,IF(AND(ISNUMBER($K96),Y$5&gt;=$K96,Y$5&lt;=$L96,WEEKDAY(Y$5,2)&lt;6,COUNTIF(휴일!$A$2:$A$2,Y$5)=0),1,""))</f>
        <v/>
      </c>
      <c r="Z96" s="33" t="str">
        <f aca="false">IF(AND(ISNUMBER($M96),Z$5&gt;=$M96,Z$5&lt;=IF($N96="",$L$1,$N96),WEEKDAY(Z$5,2)&lt;6,COUNTIF(휴일!$A$2:$A$2,Z$5)=0),2,IF(AND(ISNUMBER($K96),Z$5&gt;=$K96,Z$5&lt;=$L96,WEEKDAY(Z$5,2)&lt;6,COUNTIF(휴일!$A$2:$A$2,Z$5)=0),1,""))</f>
        <v/>
      </c>
      <c r="AA96" s="33" t="str">
        <f aca="false">IF(AND(ISNUMBER($M96),AA$5&gt;=$M96,AA$5&lt;=IF($N96="",$L$1,$N96),WEEKDAY(AA$5,2)&lt;6,COUNTIF(휴일!$A$2:$A$2,AA$5)=0),2,IF(AND(ISNUMBER($K96),AA$5&gt;=$K96,AA$5&lt;=$L96,WEEKDAY(AA$5,2)&lt;6,COUNTIF(휴일!$A$2:$A$2,AA$5)=0),1,""))</f>
        <v/>
      </c>
      <c r="AB96" s="33" t="str">
        <f aca="false">IF(AND(ISNUMBER($M96),AB$5&gt;=$M96,AB$5&lt;=IF($N96="",$L$1,$N96),WEEKDAY(AB$5,2)&lt;6,COUNTIF(휴일!$A$2:$A$2,AB$5)=0),2,IF(AND(ISNUMBER($K96),AB$5&gt;=$K96,AB$5&lt;=$L96,WEEKDAY(AB$5,2)&lt;6,COUNTIF(휴일!$A$2:$A$2,AB$5)=0),1,""))</f>
        <v/>
      </c>
      <c r="AC96" s="32" t="str">
        <f aca="false">IF(AND(ISNUMBER($M96),AC$5&gt;=$M96,AC$5&lt;=IF($N96="",$L$1,$N96),WEEKDAY(AC$5,2)&lt;6,COUNTIF(휴일!$A$2:$A$2,AC$5)=0),2,IF(AND(ISNUMBER($K96),AC$5&gt;=$K96,AC$5&lt;=$L96,WEEKDAY(AC$5,2)&lt;6,COUNTIF(휴일!$A$2:$A$2,AC$5)=0),1,""))</f>
        <v/>
      </c>
      <c r="AD96" s="32" t="str">
        <f aca="false">IF(AND(ISNUMBER($M96),AD$5&gt;=$M96,AD$5&lt;=IF($N96="",$L$1,$N96),WEEKDAY(AD$5,2)&lt;6,COUNTIF(휴일!$A$2:$A$2,AD$5)=0),2,IF(AND(ISNUMBER($K96),AD$5&gt;=$K96,AD$5&lt;=$L96,WEEKDAY(AD$5,2)&lt;6,COUNTIF(휴일!$A$2:$A$2,AD$5)=0),1,""))</f>
        <v/>
      </c>
      <c r="AE96" s="32" t="str">
        <f aca="false">IF(AND(ISNUMBER($M96),AE$5&gt;=$M96,AE$5&lt;=IF($N96="",$L$1,$N96),WEEKDAY(AE$5,2)&lt;6,COUNTIF(휴일!$A$2:$A$2,AE$5)=0),2,IF(AND(ISNUMBER($K96),AE$5&gt;=$K96,AE$5&lt;=$L96,WEEKDAY(AE$5,2)&lt;6,COUNTIF(휴일!$A$2:$A$2,AE$5)=0),1,""))</f>
        <v/>
      </c>
      <c r="AF96" s="25" t="s">
        <v>83</v>
      </c>
      <c r="AG96" s="26"/>
      <c r="AH96" s="26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customFormat="false" ht="24" hidden="false" customHeight="true" outlineLevel="0" collapsed="false">
      <c r="A99" s="2"/>
      <c r="B99" s="35" t="s">
        <v>227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 customFormat="false" ht="24" hidden="false" customHeight="true" outlineLevel="0" collapsed="false">
      <c r="A100" s="2"/>
      <c r="B100" s="35" t="s">
        <v>228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 customFormat="false" ht="24" hidden="false" customHeight="true" outlineLevel="0" collapsed="false">
      <c r="A101" s="2"/>
      <c r="B101" s="35" t="s">
        <v>229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 customFormat="false" ht="24" hidden="false" customHeight="true" outlineLevel="0" collapsed="false">
      <c r="A102" s="2"/>
      <c r="B102" s="35" t="s">
        <v>230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 customFormat="false" ht="24" hidden="false" customHeight="true" outlineLevel="0" collapsed="false">
      <c r="A103" s="2"/>
      <c r="B103" s="35" t="s">
        <v>231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customFormat="false" ht="24" hidden="false" customHeight="true" outlineLevel="0" collapsed="false">
      <c r="A104" s="2"/>
      <c r="B104" s="35" t="s">
        <v>232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customFormat="false" ht="24" hidden="false" customHeight="true" outlineLevel="0" collapsed="false">
      <c r="A105" s="2"/>
      <c r="B105" s="35" t="s">
        <v>233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 customFormat="false" ht="24" hidden="false" customHeight="true" outlineLevel="0" collapsed="false">
      <c r="A106" s="2"/>
      <c r="B106" s="35" t="s">
        <v>234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 customFormat="false" ht="24.75" hidden="false" customHeight="true" outlineLevel="0" collapsed="false">
      <c r="A107" s="2"/>
      <c r="B107" s="5" t="s">
        <v>235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customFormat="false" ht="15" hidden="false" customHeight="true" outlineLevel="0" collapsed="false">
      <c r="A108" s="2"/>
      <c r="B108" s="2" t="s">
        <v>236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</sheetData>
  <mergeCells count="147">
    <mergeCell ref="B1:J1"/>
    <mergeCell ref="M1:S1"/>
    <mergeCell ref="B3:E4"/>
    <mergeCell ref="F3:G5"/>
    <mergeCell ref="H3:I3"/>
    <mergeCell ref="J3:J5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V3"/>
    <mergeCell ref="W3:AE3"/>
    <mergeCell ref="AF3:AH3"/>
    <mergeCell ref="H4:H5"/>
    <mergeCell ref="I4:I5"/>
    <mergeCell ref="W4:AE4"/>
    <mergeCell ref="AF4:AF5"/>
    <mergeCell ref="AG4:AG5"/>
    <mergeCell ref="AH4:AH5"/>
    <mergeCell ref="D5:E5"/>
    <mergeCell ref="B6:B10"/>
    <mergeCell ref="C6:C10"/>
    <mergeCell ref="D6:E10"/>
    <mergeCell ref="F6:G6"/>
    <mergeCell ref="F7:G7"/>
    <mergeCell ref="F8:G8"/>
    <mergeCell ref="F9:G9"/>
    <mergeCell ref="F10:G10"/>
    <mergeCell ref="B11:B22"/>
    <mergeCell ref="C11:C22"/>
    <mergeCell ref="D11:E22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B23:B39"/>
    <mergeCell ref="C23:C39"/>
    <mergeCell ref="D23:E39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B40:B63"/>
    <mergeCell ref="C40:C63"/>
    <mergeCell ref="D40:E63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B64:B74"/>
    <mergeCell ref="C64:C74"/>
    <mergeCell ref="D64:E74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B75:B88"/>
    <mergeCell ref="C75:C88"/>
    <mergeCell ref="D75:E88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B89:B96"/>
    <mergeCell ref="C89:C96"/>
    <mergeCell ref="D89:E96"/>
    <mergeCell ref="F89:G89"/>
    <mergeCell ref="F90:G90"/>
    <mergeCell ref="F91:G91"/>
    <mergeCell ref="F92:G92"/>
    <mergeCell ref="F93:G93"/>
    <mergeCell ref="F94:G94"/>
    <mergeCell ref="F95:G95"/>
    <mergeCell ref="F96:G96"/>
    <mergeCell ref="B99:AE99"/>
    <mergeCell ref="B100:AE100"/>
    <mergeCell ref="B101:AE101"/>
    <mergeCell ref="B102:AE102"/>
    <mergeCell ref="B103:AE103"/>
    <mergeCell ref="B104:AE104"/>
    <mergeCell ref="B105:AE105"/>
    <mergeCell ref="B106:AE106"/>
    <mergeCell ref="B107:AH107"/>
  </mergeCells>
  <conditionalFormatting sqref="W6:AE96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</conditionalFormatting>
  <conditionalFormatting sqref="S6:S96">
    <cfRule type="cellIs" priority="4" operator="equal" aboveAverage="0" equalAverage="0" bottom="0" percent="0" rank="0" text="" dxfId="2">
      <formula>1</formula>
    </cfRule>
  </conditionalFormatting>
  <conditionalFormatting sqref="V6:V96">
    <cfRule type="cellIs" priority="5" operator="lessThan" aboveAverage="0" equalAverage="0" bottom="0" percent="0" rank="0" text="" dxfId="3">
      <formula>0</formula>
    </cfRule>
  </conditionalFormatting>
  <conditionalFormatting sqref="T6:T96">
    <cfRule type="containsText" priority="6" operator="containsText" aboveAverage="0" equalAverage="0" bottom="0" percent="0" rank="0" text="수량 확인" dxfId="4">
      <formula>NOT(ISERROR(SEARCH("수량 확인",T6)))</formula>
    </cfRule>
  </conditionalFormatting>
  <dataValidations count="1">
    <dataValidation allowBlank="false" errorStyle="stop" operator="between" showDropDown="false" showErrorMessage="false" showInputMessage="false" sqref="AF6:AF96" type="list">
      <formula1>"미확인,미착수,진행 중,검토 중,완료,보류"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.52"/>
    <col collapsed="false" customWidth="true" hidden="false" outlineLevel="0" max="2" min="2" style="1" width="23.38"/>
    <col collapsed="false" customWidth="true" hidden="false" outlineLevel="0" max="3" min="3" style="1" width="33.38"/>
  </cols>
  <sheetData>
    <row r="1" customFormat="false" ht="14.25" hidden="false" customHeight="true" outlineLevel="0" collapsed="false">
      <c r="A1" s="36" t="s">
        <v>237</v>
      </c>
      <c r="B1" s="36" t="s">
        <v>238</v>
      </c>
      <c r="C1" s="36" t="s">
        <v>239</v>
      </c>
    </row>
    <row r="2" customFormat="false" ht="16.5" hidden="false" customHeight="true" outlineLevel="0" collapsed="false">
      <c r="A2" s="37" t="n">
        <v>46304</v>
      </c>
      <c r="B2" s="38" t="s">
        <v>240</v>
      </c>
      <c r="C2" s="38" t="s">
        <v>241</v>
      </c>
    </row>
    <row r="3" customFormat="false" ht="14.25" hidden="false" customHeight="true" outlineLevel="0" collapsed="false">
      <c r="A3" s="38"/>
      <c r="B3" s="38"/>
      <c r="C3" s="38"/>
    </row>
    <row r="4" customFormat="false" ht="14.25" hidden="false" customHeight="true" outlineLevel="0" collapsed="false">
      <c r="A4" s="38"/>
      <c r="B4" s="38"/>
      <c r="C4" s="38"/>
    </row>
    <row r="5" customFormat="false" ht="14.25" hidden="false" customHeight="true" outlineLevel="0" collapsed="false">
      <c r="A5" s="38"/>
      <c r="B5" s="38"/>
      <c r="C5" s="3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2026-10-12T07:34:10Z</dcterms:created>
  <dc:creator>openpyxl</dc:creator>
  <dc:description/>
  <dc:language>en-US</dc:language>
  <cp:lastModifiedBy>yw shin</cp:lastModifiedBy>
  <dcterms:modified xsi:type="dcterms:W3CDTF">2026-10-13T02:45:21Z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